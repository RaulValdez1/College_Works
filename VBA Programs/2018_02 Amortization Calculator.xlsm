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filterPrivacy="1" codeName="ThisWorkbook"/>
  <xr:revisionPtr revIDLastSave="0" documentId="13_ncr:1_{6BD72097-B9F6-4B85-B3FB-64368775D783}" xr6:coauthVersionLast="47" xr6:coauthVersionMax="47" xr10:uidLastSave="{00000000-0000-0000-0000-000000000000}"/>
  <bookViews>
    <workbookView xWindow="-28920" yWindow="-120" windowWidth="29040" windowHeight="15720" activeTab="2" xr2:uid="{00000000-000D-0000-FFFF-FFFF00000000}"/>
  </bookViews>
  <sheets>
    <sheet name="Hoja1" sheetId="1" r:id="rId1"/>
    <sheet name="Cálculos y conversiones" sheetId="4" r:id="rId2"/>
    <sheet name="Tabla" sheetId="2" r:id="rId3"/>
    <sheet name="Renglón" sheetId="3" r:id="rId4"/>
    <sheet name="Impresión de tabla" sheetId="5" r:id="rId5"/>
  </sheets>
  <definedNames>
    <definedName name="Amort">Tabla!$A$1:$E$1500</definedName>
    <definedName name="Renglón">Renglón!$A$7:$E$8</definedName>
    <definedName name="TABLA_B">Tabla!$A$7:$E$1000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" i="4" l="1"/>
  <c r="B2" i="4"/>
  <c r="B10" i="4"/>
  <c r="C5" i="5"/>
  <c r="C3" i="5"/>
  <c r="B30" i="2" l="1"/>
  <c r="E309" i="2" l="1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D279" i="2"/>
  <c r="E279" i="2" s="1"/>
  <c r="D286" i="2"/>
  <c r="E286" i="2" s="1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D30" i="2" s="1"/>
  <c r="E30" i="2" s="1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9" i="2"/>
  <c r="E8" i="2"/>
  <c r="B10" i="2"/>
  <c r="B11" i="2"/>
  <c r="B12" i="2"/>
  <c r="B13" i="2"/>
  <c r="B14" i="2"/>
  <c r="D14" i="2" s="1"/>
  <c r="E14" i="2" s="1"/>
  <c r="B15" i="2"/>
  <c r="B16" i="2"/>
  <c r="B17" i="2"/>
  <c r="B18" i="2"/>
  <c r="B19" i="2"/>
  <c r="B20" i="2"/>
  <c r="B21" i="2"/>
  <c r="B22" i="2"/>
  <c r="B23" i="2"/>
  <c r="B24" i="2"/>
  <c r="D24" i="2" s="1"/>
  <c r="E24" i="2" s="1"/>
  <c r="B25" i="2"/>
  <c r="B26" i="2"/>
  <c r="B27" i="2"/>
  <c r="B28" i="2"/>
  <c r="B29" i="2"/>
  <c r="B31" i="2"/>
  <c r="B32" i="2"/>
  <c r="B33" i="2"/>
  <c r="B34" i="2"/>
  <c r="D34" i="2" s="1"/>
  <c r="E34" i="2" s="1"/>
  <c r="B35" i="2"/>
  <c r="B36" i="2"/>
  <c r="B37" i="2"/>
  <c r="B38" i="2"/>
  <c r="B39" i="2"/>
  <c r="B40" i="2"/>
  <c r="D40" i="2" s="1"/>
  <c r="E40" i="2" s="1"/>
  <c r="B41" i="2"/>
  <c r="D41" i="2" s="1"/>
  <c r="E41" i="2" s="1"/>
  <c r="B42" i="2"/>
  <c r="D42" i="2" s="1"/>
  <c r="E42" i="2" s="1"/>
  <c r="B43" i="2"/>
  <c r="B44" i="2"/>
  <c r="B45" i="2"/>
  <c r="B46" i="2"/>
  <c r="D46" i="2" s="1"/>
  <c r="E46" i="2" s="1"/>
  <c r="B47" i="2"/>
  <c r="B48" i="2"/>
  <c r="B49" i="2"/>
  <c r="B50" i="2"/>
  <c r="B51" i="2"/>
  <c r="B52" i="2"/>
  <c r="B53" i="2"/>
  <c r="B54" i="2"/>
  <c r="B55" i="2"/>
  <c r="B56" i="2"/>
  <c r="D56" i="2" s="1"/>
  <c r="E56" i="2" s="1"/>
  <c r="B57" i="2"/>
  <c r="B58" i="2"/>
  <c r="B59" i="2"/>
  <c r="D59" i="2" s="1"/>
  <c r="E59" i="2" s="1"/>
  <c r="B60" i="2"/>
  <c r="B61" i="2"/>
  <c r="B62" i="2"/>
  <c r="B63" i="2"/>
  <c r="B64" i="2"/>
  <c r="B65" i="2"/>
  <c r="D65" i="2" s="1"/>
  <c r="E65" i="2" s="1"/>
  <c r="B66" i="2"/>
  <c r="B67" i="2"/>
  <c r="B68" i="2"/>
  <c r="B69" i="2"/>
  <c r="B70" i="2"/>
  <c r="D70" i="2" s="1"/>
  <c r="E70" i="2" s="1"/>
  <c r="B71" i="2"/>
  <c r="D71" i="2" s="1"/>
  <c r="E71" i="2" s="1"/>
  <c r="B72" i="2"/>
  <c r="B73" i="2"/>
  <c r="B74" i="2"/>
  <c r="D74" i="2" s="1"/>
  <c r="E74" i="2" s="1"/>
  <c r="B75" i="2"/>
  <c r="D75" i="2" s="1"/>
  <c r="E75" i="2" s="1"/>
  <c r="B76" i="2"/>
  <c r="B77" i="2"/>
  <c r="B78" i="2"/>
  <c r="B79" i="2"/>
  <c r="B80" i="2"/>
  <c r="D80" i="2" s="1"/>
  <c r="E80" i="2" s="1"/>
  <c r="B81" i="2"/>
  <c r="B82" i="2"/>
  <c r="D82" i="2" s="1"/>
  <c r="E82" i="2" s="1"/>
  <c r="B83" i="2"/>
  <c r="B84" i="2"/>
  <c r="B85" i="2"/>
  <c r="B86" i="2"/>
  <c r="B87" i="2"/>
  <c r="B88" i="2"/>
  <c r="D88" i="2" s="1"/>
  <c r="E88" i="2" s="1"/>
  <c r="B89" i="2"/>
  <c r="D89" i="2" s="1"/>
  <c r="E89" i="2" s="1"/>
  <c r="B90" i="2"/>
  <c r="B91" i="2"/>
  <c r="B92" i="2"/>
  <c r="B93" i="2"/>
  <c r="B94" i="2"/>
  <c r="D94" i="2" s="1"/>
  <c r="E94" i="2" s="1"/>
  <c r="B95" i="2"/>
  <c r="B96" i="2"/>
  <c r="B97" i="2"/>
  <c r="B98" i="2"/>
  <c r="D98" i="2" s="1"/>
  <c r="E98" i="2" s="1"/>
  <c r="B99" i="2"/>
  <c r="D99" i="2" s="1"/>
  <c r="E99" i="2" s="1"/>
  <c r="B100" i="2"/>
  <c r="B101" i="2"/>
  <c r="B102" i="2"/>
  <c r="D102" i="2" s="1"/>
  <c r="E102" i="2" s="1"/>
  <c r="B103" i="2"/>
  <c r="B104" i="2"/>
  <c r="B105" i="2"/>
  <c r="D105" i="2" s="1"/>
  <c r="E105" i="2" s="1"/>
  <c r="B106" i="2"/>
  <c r="B107" i="2"/>
  <c r="D107" i="2" s="1"/>
  <c r="E107" i="2" s="1"/>
  <c r="B108" i="2"/>
  <c r="D108" i="2" s="1"/>
  <c r="E108" i="2" s="1"/>
  <c r="B109" i="2"/>
  <c r="B110" i="2"/>
  <c r="B111" i="2"/>
  <c r="D111" i="2" s="1"/>
  <c r="E111" i="2" s="1"/>
  <c r="B112" i="2"/>
  <c r="D112" i="2" s="1"/>
  <c r="E112" i="2" s="1"/>
  <c r="B113" i="2"/>
  <c r="D113" i="2" s="1"/>
  <c r="E113" i="2" s="1"/>
  <c r="B114" i="2"/>
  <c r="D114" i="2" s="1"/>
  <c r="E114" i="2" s="1"/>
  <c r="B115" i="2"/>
  <c r="B116" i="2"/>
  <c r="B117" i="2"/>
  <c r="B118" i="2"/>
  <c r="D118" i="2" s="1"/>
  <c r="E118" i="2" s="1"/>
  <c r="B119" i="2"/>
  <c r="B120" i="2"/>
  <c r="B121" i="2"/>
  <c r="B122" i="2"/>
  <c r="D122" i="2" s="1"/>
  <c r="E122" i="2" s="1"/>
  <c r="B123" i="2"/>
  <c r="D123" i="2" s="1"/>
  <c r="E123" i="2" s="1"/>
  <c r="B124" i="2"/>
  <c r="B125" i="2"/>
  <c r="B126" i="2"/>
  <c r="D126" i="2" s="1"/>
  <c r="E126" i="2" s="1"/>
  <c r="B127" i="2"/>
  <c r="D127" i="2" s="1"/>
  <c r="E127" i="2" s="1"/>
  <c r="B128" i="2"/>
  <c r="B129" i="2"/>
  <c r="B130" i="2"/>
  <c r="D130" i="2" s="1"/>
  <c r="E130" i="2" s="1"/>
  <c r="B131" i="2"/>
  <c r="B132" i="2"/>
  <c r="B133" i="2"/>
  <c r="B134" i="2"/>
  <c r="D134" i="2" s="1"/>
  <c r="E134" i="2" s="1"/>
  <c r="B135" i="2"/>
  <c r="D135" i="2" s="1"/>
  <c r="E135" i="2" s="1"/>
  <c r="B136" i="2"/>
  <c r="D136" i="2" s="1"/>
  <c r="E136" i="2" s="1"/>
  <c r="B137" i="2"/>
  <c r="B138" i="2"/>
  <c r="D138" i="2" s="1"/>
  <c r="E138" i="2" s="1"/>
  <c r="B139" i="2"/>
  <c r="D139" i="2" s="1"/>
  <c r="E139" i="2" s="1"/>
  <c r="B140" i="2"/>
  <c r="B141" i="2"/>
  <c r="B142" i="2"/>
  <c r="D142" i="2" s="1"/>
  <c r="E142" i="2" s="1"/>
  <c r="B143" i="2"/>
  <c r="D143" i="2" s="1"/>
  <c r="E143" i="2" s="1"/>
  <c r="B144" i="2"/>
  <c r="D144" i="2" s="1"/>
  <c r="E144" i="2" s="1"/>
  <c r="B145" i="2"/>
  <c r="B146" i="2"/>
  <c r="D146" i="2" s="1"/>
  <c r="E146" i="2" s="1"/>
  <c r="B147" i="2"/>
  <c r="D147" i="2" s="1"/>
  <c r="E147" i="2" s="1"/>
  <c r="B148" i="2"/>
  <c r="B149" i="2"/>
  <c r="B150" i="2"/>
  <c r="B151" i="2"/>
  <c r="D151" i="2" s="1"/>
  <c r="E151" i="2" s="1"/>
  <c r="B152" i="2"/>
  <c r="D152" i="2" s="1"/>
  <c r="E152" i="2" s="1"/>
  <c r="B153" i="2"/>
  <c r="D153" i="2" s="1"/>
  <c r="E153" i="2" s="1"/>
  <c r="B154" i="2"/>
  <c r="D154" i="2" s="1"/>
  <c r="E154" i="2" s="1"/>
  <c r="B155" i="2"/>
  <c r="D155" i="2" s="1"/>
  <c r="E155" i="2" s="1"/>
  <c r="B156" i="2"/>
  <c r="B157" i="2"/>
  <c r="B158" i="2"/>
  <c r="B159" i="2"/>
  <c r="D159" i="2" s="1"/>
  <c r="E159" i="2" s="1"/>
  <c r="B160" i="2"/>
  <c r="D160" i="2" s="1"/>
  <c r="E160" i="2" s="1"/>
  <c r="B161" i="2"/>
  <c r="B162" i="2"/>
  <c r="D162" i="2" s="1"/>
  <c r="E162" i="2" s="1"/>
  <c r="B163" i="2"/>
  <c r="D163" i="2" s="1"/>
  <c r="E163" i="2" s="1"/>
  <c r="B164" i="2"/>
  <c r="B165" i="2"/>
  <c r="B166" i="2"/>
  <c r="D166" i="2" s="1"/>
  <c r="E166" i="2" s="1"/>
  <c r="B167" i="2"/>
  <c r="D167" i="2" s="1"/>
  <c r="E167" i="2" s="1"/>
  <c r="B168" i="2"/>
  <c r="D168" i="2" s="1"/>
  <c r="E168" i="2" s="1"/>
  <c r="B169" i="2"/>
  <c r="B170" i="2"/>
  <c r="D170" i="2" s="1"/>
  <c r="E170" i="2" s="1"/>
  <c r="B171" i="2"/>
  <c r="D171" i="2" s="1"/>
  <c r="E171" i="2" s="1"/>
  <c r="B172" i="2"/>
  <c r="B173" i="2"/>
  <c r="B174" i="2"/>
  <c r="D174" i="2" s="1"/>
  <c r="E174" i="2" s="1"/>
  <c r="B175" i="2"/>
  <c r="D175" i="2" s="1"/>
  <c r="E175" i="2" s="1"/>
  <c r="B176" i="2"/>
  <c r="D176" i="2" s="1"/>
  <c r="E176" i="2" s="1"/>
  <c r="B177" i="2"/>
  <c r="B178" i="2"/>
  <c r="D178" i="2" s="1"/>
  <c r="E178" i="2" s="1"/>
  <c r="B179" i="2"/>
  <c r="B180" i="2"/>
  <c r="D180" i="2" s="1"/>
  <c r="E180" i="2" s="1"/>
  <c r="B181" i="2"/>
  <c r="B182" i="2"/>
  <c r="D182" i="2" s="1"/>
  <c r="E182" i="2" s="1"/>
  <c r="B183" i="2"/>
  <c r="D183" i="2" s="1"/>
  <c r="E183" i="2" s="1"/>
  <c r="B184" i="2"/>
  <c r="D184" i="2" s="1"/>
  <c r="E184" i="2" s="1"/>
  <c r="B185" i="2"/>
  <c r="B186" i="2"/>
  <c r="D186" i="2" s="1"/>
  <c r="E186" i="2" s="1"/>
  <c r="B187" i="2"/>
  <c r="D187" i="2" s="1"/>
  <c r="E187" i="2" s="1"/>
  <c r="B188" i="2"/>
  <c r="D188" i="2" s="1"/>
  <c r="E188" i="2" s="1"/>
  <c r="B189" i="2"/>
  <c r="D189" i="2" s="1"/>
  <c r="E189" i="2" s="1"/>
  <c r="B190" i="2"/>
  <c r="D190" i="2" s="1"/>
  <c r="E190" i="2" s="1"/>
  <c r="B191" i="2"/>
  <c r="D191" i="2" s="1"/>
  <c r="E191" i="2" s="1"/>
  <c r="B192" i="2"/>
  <c r="D192" i="2" s="1"/>
  <c r="E192" i="2" s="1"/>
  <c r="B193" i="2"/>
  <c r="D193" i="2" s="1"/>
  <c r="E193" i="2" s="1"/>
  <c r="B194" i="2"/>
  <c r="D194" i="2" s="1"/>
  <c r="E194" i="2" s="1"/>
  <c r="B195" i="2"/>
  <c r="D195" i="2" s="1"/>
  <c r="E195" i="2" s="1"/>
  <c r="B196" i="2"/>
  <c r="D196" i="2" s="1"/>
  <c r="E196" i="2" s="1"/>
  <c r="B197" i="2"/>
  <c r="B198" i="2"/>
  <c r="B199" i="2"/>
  <c r="D199" i="2" s="1"/>
  <c r="E199" i="2" s="1"/>
  <c r="B200" i="2"/>
  <c r="D200" i="2" s="1"/>
  <c r="E200" i="2" s="1"/>
  <c r="B201" i="2"/>
  <c r="B202" i="2"/>
  <c r="D202" i="2" s="1"/>
  <c r="E202" i="2" s="1"/>
  <c r="B203" i="2"/>
  <c r="D203" i="2" s="1"/>
  <c r="E203" i="2" s="1"/>
  <c r="B204" i="2"/>
  <c r="D204" i="2" s="1"/>
  <c r="E204" i="2" s="1"/>
  <c r="B205" i="2"/>
  <c r="B206" i="2"/>
  <c r="D206" i="2" s="1"/>
  <c r="E206" i="2" s="1"/>
  <c r="B207" i="2"/>
  <c r="D207" i="2" s="1"/>
  <c r="E207" i="2" s="1"/>
  <c r="B208" i="2"/>
  <c r="D208" i="2" s="1"/>
  <c r="E208" i="2" s="1"/>
  <c r="B209" i="2"/>
  <c r="D209" i="2" s="1"/>
  <c r="E209" i="2" s="1"/>
  <c r="B210" i="2"/>
  <c r="D210" i="2" s="1"/>
  <c r="E210" i="2" s="1"/>
  <c r="B211" i="2"/>
  <c r="D211" i="2" s="1"/>
  <c r="E211" i="2" s="1"/>
  <c r="B212" i="2"/>
  <c r="B213" i="2"/>
  <c r="B214" i="2"/>
  <c r="D214" i="2" s="1"/>
  <c r="E214" i="2" s="1"/>
  <c r="B215" i="2"/>
  <c r="D215" i="2" s="1"/>
  <c r="E215" i="2" s="1"/>
  <c r="B216" i="2"/>
  <c r="B217" i="2"/>
  <c r="B218" i="2"/>
  <c r="D218" i="2" s="1"/>
  <c r="E218" i="2" s="1"/>
  <c r="B219" i="2"/>
  <c r="B220" i="2"/>
  <c r="D220" i="2" s="1"/>
  <c r="E220" i="2" s="1"/>
  <c r="B221" i="2"/>
  <c r="B222" i="2"/>
  <c r="D222" i="2" s="1"/>
  <c r="E222" i="2" s="1"/>
  <c r="B223" i="2"/>
  <c r="D223" i="2" s="1"/>
  <c r="E223" i="2" s="1"/>
  <c r="B224" i="2"/>
  <c r="D224" i="2" s="1"/>
  <c r="E224" i="2" s="1"/>
  <c r="B225" i="2"/>
  <c r="D225" i="2" s="1"/>
  <c r="E225" i="2" s="1"/>
  <c r="B226" i="2"/>
  <c r="D226" i="2" s="1"/>
  <c r="E226" i="2" s="1"/>
  <c r="B227" i="2"/>
  <c r="D227" i="2" s="1"/>
  <c r="E227" i="2" s="1"/>
  <c r="B228" i="2"/>
  <c r="D228" i="2" s="1"/>
  <c r="E228" i="2" s="1"/>
  <c r="B229" i="2"/>
  <c r="D229" i="2" s="1"/>
  <c r="E229" i="2" s="1"/>
  <c r="B230" i="2"/>
  <c r="D230" i="2" s="1"/>
  <c r="E230" i="2" s="1"/>
  <c r="B231" i="2"/>
  <c r="B232" i="2"/>
  <c r="D232" i="2" s="1"/>
  <c r="E232" i="2" s="1"/>
  <c r="B233" i="2"/>
  <c r="B234" i="2"/>
  <c r="D234" i="2" s="1"/>
  <c r="E234" i="2" s="1"/>
  <c r="B235" i="2"/>
  <c r="D235" i="2" s="1"/>
  <c r="E235" i="2" s="1"/>
  <c r="B236" i="2"/>
  <c r="D236" i="2" s="1"/>
  <c r="E236" i="2" s="1"/>
  <c r="B237" i="2"/>
  <c r="B238" i="2"/>
  <c r="D238" i="2" s="1"/>
  <c r="E238" i="2" s="1"/>
  <c r="B239" i="2"/>
  <c r="D239" i="2" s="1"/>
  <c r="E239" i="2" s="1"/>
  <c r="B240" i="2"/>
  <c r="B241" i="2"/>
  <c r="B242" i="2"/>
  <c r="D242" i="2" s="1"/>
  <c r="E242" i="2" s="1"/>
  <c r="B243" i="2"/>
  <c r="B244" i="2"/>
  <c r="B245" i="2"/>
  <c r="B246" i="2"/>
  <c r="D246" i="2" s="1"/>
  <c r="E246" i="2" s="1"/>
  <c r="B247" i="2"/>
  <c r="D247" i="2" s="1"/>
  <c r="E247" i="2" s="1"/>
  <c r="B248" i="2"/>
  <c r="B249" i="2"/>
  <c r="D249" i="2" s="1"/>
  <c r="E249" i="2" s="1"/>
  <c r="B250" i="2"/>
  <c r="D250" i="2" s="1"/>
  <c r="E250" i="2" s="1"/>
  <c r="B251" i="2"/>
  <c r="D251" i="2" s="1"/>
  <c r="E251" i="2" s="1"/>
  <c r="B252" i="2"/>
  <c r="D252" i="2" s="1"/>
  <c r="E252" i="2" s="1"/>
  <c r="B253" i="2"/>
  <c r="B254" i="2"/>
  <c r="D254" i="2" s="1"/>
  <c r="E254" i="2" s="1"/>
  <c r="B255" i="2"/>
  <c r="D255" i="2" s="1"/>
  <c r="E255" i="2" s="1"/>
  <c r="B256" i="2"/>
  <c r="D256" i="2" s="1"/>
  <c r="E256" i="2" s="1"/>
  <c r="B257" i="2"/>
  <c r="D257" i="2" s="1"/>
  <c r="E257" i="2" s="1"/>
  <c r="B258" i="2"/>
  <c r="D258" i="2" s="1"/>
  <c r="E258" i="2" s="1"/>
  <c r="B259" i="2"/>
  <c r="D259" i="2" s="1"/>
  <c r="E259" i="2" s="1"/>
  <c r="B260" i="2"/>
  <c r="D260" i="2" s="1"/>
  <c r="E260" i="2" s="1"/>
  <c r="B261" i="2"/>
  <c r="D261" i="2" s="1"/>
  <c r="E261" i="2" s="1"/>
  <c r="B262" i="2"/>
  <c r="D262" i="2" s="1"/>
  <c r="E262" i="2" s="1"/>
  <c r="B263" i="2"/>
  <c r="D263" i="2" s="1"/>
  <c r="E263" i="2" s="1"/>
  <c r="B264" i="2"/>
  <c r="D264" i="2" s="1"/>
  <c r="E264" i="2" s="1"/>
  <c r="B265" i="2"/>
  <c r="D265" i="2" s="1"/>
  <c r="E265" i="2" s="1"/>
  <c r="B266" i="2"/>
  <c r="D266" i="2" s="1"/>
  <c r="E266" i="2" s="1"/>
  <c r="B267" i="2"/>
  <c r="D267" i="2" s="1"/>
  <c r="E267" i="2" s="1"/>
  <c r="B268" i="2"/>
  <c r="D268" i="2" s="1"/>
  <c r="E268" i="2" s="1"/>
  <c r="B269" i="2"/>
  <c r="D269" i="2" s="1"/>
  <c r="E269" i="2" s="1"/>
  <c r="B270" i="2"/>
  <c r="D270" i="2" s="1"/>
  <c r="E270" i="2" s="1"/>
  <c r="B271" i="2"/>
  <c r="D271" i="2" s="1"/>
  <c r="E271" i="2" s="1"/>
  <c r="B272" i="2"/>
  <c r="D272" i="2" s="1"/>
  <c r="E272" i="2" s="1"/>
  <c r="B273" i="2"/>
  <c r="D273" i="2" s="1"/>
  <c r="E273" i="2" s="1"/>
  <c r="B274" i="2"/>
  <c r="D274" i="2" s="1"/>
  <c r="E274" i="2" s="1"/>
  <c r="B275" i="2"/>
  <c r="D275" i="2" s="1"/>
  <c r="E275" i="2" s="1"/>
  <c r="B276" i="2"/>
  <c r="D276" i="2" s="1"/>
  <c r="E276" i="2" s="1"/>
  <c r="B277" i="2"/>
  <c r="D277" i="2" s="1"/>
  <c r="E277" i="2" s="1"/>
  <c r="B278" i="2"/>
  <c r="D278" i="2" s="1"/>
  <c r="E278" i="2" s="1"/>
  <c r="B279" i="2"/>
  <c r="B280" i="2"/>
  <c r="D280" i="2" s="1"/>
  <c r="E280" i="2" s="1"/>
  <c r="B281" i="2"/>
  <c r="D281" i="2" s="1"/>
  <c r="E281" i="2" s="1"/>
  <c r="B282" i="2"/>
  <c r="D282" i="2" s="1"/>
  <c r="E282" i="2" s="1"/>
  <c r="B283" i="2"/>
  <c r="D283" i="2" s="1"/>
  <c r="E283" i="2" s="1"/>
  <c r="B284" i="2"/>
  <c r="D284" i="2" s="1"/>
  <c r="E284" i="2" s="1"/>
  <c r="B285" i="2"/>
  <c r="D285" i="2" s="1"/>
  <c r="E285" i="2" s="1"/>
  <c r="B286" i="2"/>
  <c r="B287" i="2"/>
  <c r="D287" i="2" s="1"/>
  <c r="E287" i="2" s="1"/>
  <c r="B288" i="2"/>
  <c r="D288" i="2" s="1"/>
  <c r="E288" i="2" s="1"/>
  <c r="B289" i="2"/>
  <c r="D289" i="2" s="1"/>
  <c r="E289" i="2" s="1"/>
  <c r="B290" i="2"/>
  <c r="D290" i="2" s="1"/>
  <c r="E290" i="2" s="1"/>
  <c r="B291" i="2"/>
  <c r="D291" i="2" s="1"/>
  <c r="E291" i="2" s="1"/>
  <c r="B292" i="2"/>
  <c r="D292" i="2" s="1"/>
  <c r="E292" i="2" s="1"/>
  <c r="B293" i="2"/>
  <c r="D293" i="2" s="1"/>
  <c r="E293" i="2" s="1"/>
  <c r="B294" i="2"/>
  <c r="D294" i="2" s="1"/>
  <c r="E294" i="2" s="1"/>
  <c r="B295" i="2"/>
  <c r="D295" i="2" s="1"/>
  <c r="E295" i="2" s="1"/>
  <c r="B296" i="2"/>
  <c r="D296" i="2" s="1"/>
  <c r="E296" i="2" s="1"/>
  <c r="B297" i="2"/>
  <c r="D297" i="2" s="1"/>
  <c r="E297" i="2" s="1"/>
  <c r="B298" i="2"/>
  <c r="D298" i="2" s="1"/>
  <c r="E298" i="2" s="1"/>
  <c r="B299" i="2"/>
  <c r="D299" i="2" s="1"/>
  <c r="E299" i="2" s="1"/>
  <c r="B300" i="2"/>
  <c r="D300" i="2" s="1"/>
  <c r="E300" i="2" s="1"/>
  <c r="B301" i="2"/>
  <c r="D301" i="2" s="1"/>
  <c r="E301" i="2" s="1"/>
  <c r="B302" i="2"/>
  <c r="D302" i="2" s="1"/>
  <c r="E302" i="2" s="1"/>
  <c r="B303" i="2"/>
  <c r="D303" i="2" s="1"/>
  <c r="E303" i="2" s="1"/>
  <c r="B304" i="2"/>
  <c r="D304" i="2" s="1"/>
  <c r="E304" i="2" s="1"/>
  <c r="B305" i="2"/>
  <c r="D305" i="2" s="1"/>
  <c r="E305" i="2" s="1"/>
  <c r="B306" i="2"/>
  <c r="D306" i="2" s="1"/>
  <c r="E306" i="2" s="1"/>
  <c r="B307" i="2"/>
  <c r="D307" i="2" s="1"/>
  <c r="E307" i="2" s="1"/>
  <c r="B308" i="2"/>
  <c r="D308" i="2" s="1"/>
  <c r="E308" i="2" s="1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9" i="2"/>
  <c r="B1010" i="2"/>
  <c r="C5" i="2"/>
  <c r="C3" i="2"/>
  <c r="D47" i="2" l="1"/>
  <c r="E47" i="2" s="1"/>
  <c r="D48" i="2"/>
  <c r="E48" i="2" s="1"/>
  <c r="D43" i="2"/>
  <c r="E43" i="2" s="1"/>
  <c r="D26" i="2"/>
  <c r="E26" i="2" s="1"/>
  <c r="D20" i="2"/>
  <c r="E20" i="2" s="1"/>
  <c r="D253" i="2"/>
  <c r="E253" i="2" s="1"/>
  <c r="D248" i="2"/>
  <c r="E248" i="2" s="1"/>
  <c r="D245" i="2"/>
  <c r="E245" i="2" s="1"/>
  <c r="D244" i="2"/>
  <c r="E244" i="2" s="1"/>
  <c r="D241" i="2"/>
  <c r="E241" i="2" s="1"/>
  <c r="D240" i="2"/>
  <c r="E240" i="2" s="1"/>
  <c r="D237" i="2"/>
  <c r="E237" i="2" s="1"/>
  <c r="D233" i="2"/>
  <c r="E233" i="2" s="1"/>
  <c r="D231" i="2"/>
  <c r="E231" i="2" s="1"/>
  <c r="D221" i="2"/>
  <c r="E221" i="2" s="1"/>
  <c r="D219" i="2"/>
  <c r="E219" i="2" s="1"/>
  <c r="D212" i="2"/>
  <c r="E212" i="2" s="1"/>
  <c r="D205" i="2"/>
  <c r="E205" i="2" s="1"/>
  <c r="D201" i="2"/>
  <c r="E201" i="2" s="1"/>
  <c r="D198" i="2"/>
  <c r="E198" i="2" s="1"/>
  <c r="D197" i="2"/>
  <c r="E197" i="2" s="1"/>
  <c r="D185" i="2"/>
  <c r="E185" i="2" s="1"/>
  <c r="D179" i="2"/>
  <c r="E179" i="2" s="1"/>
  <c r="D177" i="2"/>
  <c r="E177" i="2" s="1"/>
  <c r="D169" i="2"/>
  <c r="E169" i="2" s="1"/>
  <c r="D161" i="2"/>
  <c r="E161" i="2" s="1"/>
  <c r="D158" i="2"/>
  <c r="E158" i="2" s="1"/>
  <c r="D137" i="2"/>
  <c r="E137" i="2" s="1"/>
  <c r="D131" i="2"/>
  <c r="E131" i="2" s="1"/>
  <c r="D77" i="2"/>
  <c r="E77" i="2" s="1"/>
  <c r="D33" i="2"/>
  <c r="E33" i="2" s="1"/>
  <c r="D128" i="2"/>
  <c r="E128" i="2" s="1"/>
  <c r="D120" i="2"/>
  <c r="E120" i="2" s="1"/>
  <c r="D104" i="2"/>
  <c r="E104" i="2" s="1"/>
  <c r="D85" i="2"/>
  <c r="E85" i="2" s="1"/>
  <c r="D72" i="2"/>
  <c r="E72" i="2" s="1"/>
  <c r="D61" i="2"/>
  <c r="E61" i="2" s="1"/>
  <c r="D57" i="2"/>
  <c r="E57" i="2" s="1"/>
  <c r="D52" i="2"/>
  <c r="E52" i="2" s="1"/>
  <c r="D49" i="2"/>
  <c r="E49" i="2" s="1"/>
  <c r="D9" i="2"/>
  <c r="E9" i="2" s="1"/>
  <c r="C10" i="2" s="1"/>
  <c r="D10" i="2" s="1"/>
  <c r="E10" i="2" s="1"/>
  <c r="C11" i="2" s="1"/>
  <c r="D11" i="2" s="1"/>
  <c r="E11" i="2" s="1"/>
  <c r="C12" i="2" s="1"/>
  <c r="D12" i="2" s="1"/>
  <c r="E12" i="2" s="1"/>
  <c r="C13" i="2" s="1"/>
  <c r="D13" i="2" s="1"/>
  <c r="E13" i="2" s="1"/>
  <c r="D172" i="2"/>
  <c r="E172" i="2" s="1"/>
  <c r="D165" i="2"/>
  <c r="E165" i="2" s="1"/>
  <c r="D164" i="2"/>
  <c r="E164" i="2" s="1"/>
  <c r="D156" i="2"/>
  <c r="E156" i="2" s="1"/>
  <c r="D150" i="2"/>
  <c r="E150" i="2" s="1"/>
  <c r="D149" i="2"/>
  <c r="E149" i="2" s="1"/>
  <c r="D148" i="2"/>
  <c r="E148" i="2" s="1"/>
  <c r="D145" i="2"/>
  <c r="E145" i="2" s="1"/>
  <c r="D133" i="2"/>
  <c r="E133" i="2" s="1"/>
  <c r="D129" i="2"/>
  <c r="E129" i="2" s="1"/>
  <c r="D121" i="2"/>
  <c r="E121" i="2" s="1"/>
  <c r="D117" i="2"/>
  <c r="E117" i="2" s="1"/>
  <c r="D110" i="2"/>
  <c r="E110" i="2" s="1"/>
  <c r="D109" i="2"/>
  <c r="E109" i="2" s="1"/>
  <c r="D101" i="2"/>
  <c r="E101" i="2" s="1"/>
  <c r="D97" i="2"/>
  <c r="E97" i="2" s="1"/>
  <c r="D95" i="2"/>
  <c r="E95" i="2" s="1"/>
  <c r="D93" i="2"/>
  <c r="E93" i="2" s="1"/>
  <c r="D81" i="2"/>
  <c r="E81" i="2" s="1"/>
  <c r="D73" i="2"/>
  <c r="E73" i="2" s="1"/>
  <c r="D69" i="2"/>
  <c r="E69" i="2" s="1"/>
  <c r="D64" i="2"/>
  <c r="E64" i="2" s="1"/>
  <c r="D53" i="2"/>
  <c r="E53" i="2" s="1"/>
  <c r="D45" i="2"/>
  <c r="E45" i="2" s="1"/>
  <c r="D32" i="2"/>
  <c r="E32" i="2" s="1"/>
  <c r="D243" i="2"/>
  <c r="E243" i="2" s="1"/>
  <c r="D217" i="2"/>
  <c r="E217" i="2" s="1"/>
  <c r="D216" i="2"/>
  <c r="E216" i="2" s="1"/>
  <c r="D213" i="2"/>
  <c r="E213" i="2" s="1"/>
  <c r="D181" i="2"/>
  <c r="E181" i="2" s="1"/>
  <c r="D173" i="2"/>
  <c r="E173" i="2" s="1"/>
  <c r="D157" i="2"/>
  <c r="E157" i="2" s="1"/>
  <c r="D141" i="2"/>
  <c r="E141" i="2" s="1"/>
  <c r="D140" i="2"/>
  <c r="E140" i="2" s="1"/>
  <c r="D132" i="2"/>
  <c r="E132" i="2" s="1"/>
  <c r="D125" i="2"/>
  <c r="E125" i="2" s="1"/>
  <c r="D124" i="2"/>
  <c r="E124" i="2" s="1"/>
  <c r="D119" i="2"/>
  <c r="E119" i="2" s="1"/>
  <c r="D116" i="2"/>
  <c r="E116" i="2" s="1"/>
  <c r="D115" i="2"/>
  <c r="E115" i="2" s="1"/>
  <c r="D100" i="2"/>
  <c r="E100" i="2" s="1"/>
  <c r="D96" i="2"/>
  <c r="E96" i="2" s="1"/>
  <c r="D92" i="2"/>
  <c r="E92" i="2" s="1"/>
  <c r="D91" i="2"/>
  <c r="E91" i="2" s="1"/>
  <c r="D90" i="2"/>
  <c r="E90" i="2" s="1"/>
  <c r="D84" i="2"/>
  <c r="E84" i="2" s="1"/>
  <c r="D83" i="2"/>
  <c r="E83" i="2" s="1"/>
  <c r="D76" i="2"/>
  <c r="E76" i="2" s="1"/>
  <c r="D68" i="2"/>
  <c r="E68" i="2" s="1"/>
  <c r="D67" i="2"/>
  <c r="E67" i="2" s="1"/>
  <c r="D60" i="2"/>
  <c r="E60" i="2" s="1"/>
  <c r="D44" i="2"/>
  <c r="E44" i="2" s="1"/>
  <c r="D39" i="2"/>
  <c r="E39" i="2" s="1"/>
  <c r="D36" i="2"/>
  <c r="E36" i="2" s="1"/>
  <c r="D106" i="2"/>
  <c r="E106" i="2" s="1"/>
  <c r="D103" i="2"/>
  <c r="E103" i="2" s="1"/>
  <c r="D87" i="2"/>
  <c r="E87" i="2" s="1"/>
  <c r="D86" i="2"/>
  <c r="E86" i="2" s="1"/>
  <c r="D79" i="2"/>
  <c r="E79" i="2" s="1"/>
  <c r="D78" i="2"/>
  <c r="E78" i="2" s="1"/>
  <c r="D66" i="2"/>
  <c r="E66" i="2" s="1"/>
  <c r="D63" i="2"/>
  <c r="E63" i="2" s="1"/>
  <c r="D62" i="2"/>
  <c r="E62" i="2" s="1"/>
  <c r="D58" i="2"/>
  <c r="E58" i="2" s="1"/>
  <c r="D55" i="2"/>
  <c r="E55" i="2" s="1"/>
  <c r="D54" i="2"/>
  <c r="E54" i="2" s="1"/>
  <c r="D51" i="2"/>
  <c r="E51" i="2" s="1"/>
  <c r="D50" i="2"/>
  <c r="E50" i="2" s="1"/>
  <c r="D38" i="2"/>
  <c r="E38" i="2" s="1"/>
  <c r="D31" i="2"/>
  <c r="E31" i="2" s="1"/>
  <c r="D28" i="2"/>
  <c r="E28" i="2" s="1"/>
  <c r="D25" i="2"/>
  <c r="E25" i="2" s="1"/>
  <c r="D22" i="2"/>
  <c r="E22" i="2" s="1"/>
  <c r="D21" i="2"/>
  <c r="E21" i="2" s="1"/>
  <c r="D29" i="2"/>
  <c r="E29" i="2" s="1"/>
  <c r="D18" i="2"/>
  <c r="E18" i="2" s="1"/>
  <c r="D15" i="2"/>
  <c r="E15" i="2" s="1"/>
  <c r="D27" i="2"/>
  <c r="E27" i="2" s="1"/>
  <c r="D19" i="2"/>
  <c r="E19" i="2" s="1"/>
  <c r="D17" i="2"/>
  <c r="E17" i="2" s="1"/>
  <c r="D37" i="2"/>
  <c r="E37" i="2" s="1"/>
  <c r="D35" i="2"/>
  <c r="E35" i="2" s="1"/>
  <c r="D23" i="2"/>
  <c r="E23" i="2" s="1"/>
  <c r="D16" i="2"/>
  <c r="E16" i="2" s="1"/>
  <c r="C5" i="3"/>
  <c r="C3" i="3"/>
  <c r="A8" i="3"/>
  <c r="C1" i="2" l="1"/>
  <c r="C1" i="5"/>
  <c r="C1" i="3"/>
  <c r="D5" i="4" l="1"/>
  <c r="D2" i="4"/>
  <c r="F5" i="4" l="1"/>
  <c r="B11" i="4" s="1"/>
  <c r="B14" i="4" l="1"/>
  <c r="C2" i="2" s="1"/>
  <c r="C4" i="3"/>
  <c r="C4" i="2"/>
  <c r="C4" i="5"/>
  <c r="B17" i="4" l="1"/>
  <c r="C8" i="3" s="1"/>
  <c r="C2" i="5"/>
  <c r="C2" i="3"/>
  <c r="B8" i="3"/>
  <c r="D8" i="3" l="1"/>
  <c r="E8" i="3" s="1"/>
</calcChain>
</file>

<file path=xl/sharedStrings.xml><?xml version="1.0" encoding="utf-8"?>
<sst xmlns="http://schemas.openxmlformats.org/spreadsheetml/2006/main" count="50" uniqueCount="22">
  <si>
    <t>í'</t>
  </si>
  <si>
    <t>Principal</t>
  </si>
  <si>
    <t>Payment</t>
  </si>
  <si>
    <t>Interest</t>
  </si>
  <si>
    <t>Ending Balance</t>
  </si>
  <si>
    <t>Period</t>
  </si>
  <si>
    <t>Payment Periodicity</t>
  </si>
  <si>
    <t>Interest Rate (i')</t>
  </si>
  <si>
    <t>Number of Payments</t>
  </si>
  <si>
    <t>i</t>
  </si>
  <si>
    <t>Last Principal</t>
  </si>
  <si>
    <t>Interest Rate</t>
  </si>
  <si>
    <t>Capitalization Periodicity</t>
  </si>
  <si>
    <t>Down Pawment</t>
  </si>
  <si>
    <t>Initial Principal</t>
  </si>
  <si>
    <t>i (adjusted for calculations)</t>
  </si>
  <si>
    <t>i' (adjusted for calculations)</t>
  </si>
  <si>
    <t>Monthly</t>
  </si>
  <si>
    <t>20%</t>
  </si>
  <si>
    <t>$500000.00</t>
  </si>
  <si>
    <t>5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</si>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</sst>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&quot;$&quot;#,##0.00_);[Red]\(&quot;$&quot;#,##0.00\)"/>
    <numFmt numFmtId="166" formatCode="&quot;$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/>
    <xf numFmtId="165" fontId="0" fillId="2" borderId="0" xfId="0" applyNumberFormat="1" applyFill="1"/>
    <xf numFmtId="2" fontId="0" fillId="0" borderId="0" xfId="0" applyNumberFormat="1"/>
    <xf numFmtId="166" fontId="0" fillId="0" borderId="0" xfId="0" applyNumberFormat="1"/>
    <xf numFmtId="10" fontId="0" fillId="0" borderId="0" xfId="0" applyNumberFormat="1"/>
    <xf numFmtId="165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0" fontId="0" fillId="0" borderId="0" xfId="1" applyNumberFormat="1" applyFont="1"/>
    <xf numFmtId="0" fontId="0" fillId="0" borderId="0" xfId="0" applyAlignment="1">
      <alignment horizontal="center"/>
    </xf>
    <xf numFmtId="164" fontId="0" fillId="0" borderId="0" xfId="0" applyNumberFormat="1"/>
    <xf numFmtId="0" fontId="2" fillId="3" borderId="0" xfId="0" applyFont="1" applyFill="1" applyAlignment="1">
      <alignment horizontal="center"/>
    </xf>
    <xf numFmtId="0" fontId="3" fillId="0" borderId="0" xfId="0" applyFont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workbookViewId="0">
      <selection activeCell="A2" sqref="A2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7D5D-A9F1-484E-8BBC-2505F31F9066}">
  <sheetPr codeName="Hoja4"/>
  <dimension ref="A1:F17"/>
  <sheetViews>
    <sheetView workbookViewId="0">
      <selection activeCell="M10" sqref="M10"/>
    </sheetView>
  </sheetViews>
  <sheetFormatPr baseColWidth="10" defaultRowHeight="15" x14ac:dyDescent="0.25"/>
  <cols>
    <col min="2" max="2" width="12.28515625" customWidth="1"/>
  </cols>
  <sheetData>
    <row r="1" spans="1:6" x14ac:dyDescent="0.25">
      <c r="A1" t="s">
        <v>12</v>
      </c>
      <c r="C1" t="s">
        <v>9</v>
      </c>
      <c r="D1" t="s">
        <v>0</v>
      </c>
    </row>
    <row r="2" spans="1:6" x14ac:dyDescent="0.25">
      <c r="A2" t="s">
        <v>17</v>
      </c>
      <c r="B2">
        <f>IF(A2="Annually",1,IF(A2="Biannually",2,IF(A2="Quarterly",4,12)))</f>
        <v>12</v>
      </c>
      <c r="C2" s="3">
        <v>0</v>
      </c>
      <c r="D2" s="3">
        <f>C2/B2</f>
        <v>0</v>
      </c>
    </row>
    <row r="4" spans="1:6" x14ac:dyDescent="0.25">
      <c r="A4" t="s">
        <v>6</v>
      </c>
      <c r="D4" t="s">
        <v>15</v>
      </c>
      <c r="F4" t="s">
        <v>16</v>
      </c>
    </row>
    <row r="5" spans="1:6" x14ac:dyDescent="0.25">
      <c r="A5" t="s">
        <v>17</v>
      </c>
      <c r="B5">
        <f>IF(A5="Annually",1,IF(A5="Biannually",2,IF(A5="Quarterly",4,12)))</f>
        <v>12</v>
      </c>
      <c r="D5" t="e">
        <f>NOMINAL(EFFECT(C2,B2),B5)</f>
        <v>#NUM!</v>
      </c>
      <c r="F5" s="1" t="e">
        <f>D5/B5</f>
        <v>#NUM!</v>
      </c>
    </row>
    <row r="8" spans="1:6" x14ac:dyDescent="0.25">
      <c r="A8" t="s">
        <v>1</v>
      </c>
      <c r="B8" s="4" t="s">
        <v>19</v>
      </c>
    </row>
    <row r="9" spans="1:6" x14ac:dyDescent="0.25">
      <c r="A9" t="s">
        <v>13</v>
      </c>
      <c r="B9" s="5" t="s">
        <v>18</v>
      </c>
    </row>
    <row r="10" spans="1:6" x14ac:dyDescent="0.25">
      <c r="A10" t="s">
        <v>14</v>
      </c>
      <c r="B10" s="4">
        <f>B8-B8*B9</f>
        <v>400000</v>
      </c>
    </row>
    <row r="11" spans="1:6" x14ac:dyDescent="0.25">
      <c r="A11" t="s">
        <v>11</v>
      </c>
      <c r="B11" t="e">
        <f>F5</f>
        <v>#NUM!</v>
      </c>
    </row>
    <row r="12" spans="1:6" x14ac:dyDescent="0.25">
      <c r="A12" t="s">
        <v>8</v>
      </c>
      <c r="B12" t="s">
        <v>20</v>
      </c>
    </row>
    <row r="14" spans="1:6" x14ac:dyDescent="0.25">
      <c r="A14" t="s">
        <v>2</v>
      </c>
      <c r="B14" s="2" t="e">
        <f>-PMT(B11,B12,B10,,0)</f>
        <v>#NUM!</v>
      </c>
    </row>
    <row r="16" spans="1:6" x14ac:dyDescent="0.25">
      <c r="A16" t="s">
        <v>5</v>
      </c>
      <c r="B16" t="s">
        <v>21</v>
      </c>
    </row>
    <row r="17" spans="1:2" x14ac:dyDescent="0.25">
      <c r="A17" t="s">
        <v>10</v>
      </c>
      <c r="B17" s="6" t="e">
        <f>-PV(B11,(B12-B16+1),B14,,0)</f>
        <v>#NUM!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53831-7738-439D-9F9D-EA2C141D85EF}">
  <sheetPr codeName="Hoja2"/>
  <dimension ref="A1:E1010"/>
  <sheetViews>
    <sheetView tabSelected="1" workbookViewId="0"/>
  </sheetViews>
  <sheetFormatPr baseColWidth="10" defaultRowHeight="15" x14ac:dyDescent="0.25"/>
  <cols>
    <col min="1" max="1" width="8.5703125" customWidth="1"/>
    <col min="2" max="2" width="18" customWidth="1"/>
    <col min="3" max="3" width="15.7109375" customWidth="1"/>
    <col min="4" max="4" width="20" customWidth="1"/>
    <col min="5" max="5" width="22.85546875" customWidth="1"/>
  </cols>
  <sheetData>
    <row r="1" spans="1:5" x14ac:dyDescent="0.25">
      <c r="A1" t="s">
        <v>1</v>
      </c>
      <c r="C1" s="4">
        <f>'Cálculos y conversiones'!$B$10</f>
        <v>400000</v>
      </c>
    </row>
    <row r="2" spans="1:5" x14ac:dyDescent="0.25">
      <c r="A2" t="s">
        <v>2</v>
      </c>
      <c r="C2" s="4" t="e">
        <f>'Cálculos y conversiones'!$B$14</f>
        <v>#NUM!</v>
      </c>
    </row>
    <row r="3" spans="1:5" x14ac:dyDescent="0.25">
      <c r="A3" t="s">
        <v>6</v>
      </c>
      <c r="C3" s="8" t="str">
        <f>'Cálculos y conversiones'!$A$5</f>
        <v>Monthly</v>
      </c>
    </row>
    <row r="4" spans="1:5" x14ac:dyDescent="0.25">
      <c r="A4" t="s">
        <v>7</v>
      </c>
      <c r="C4" s="9" t="e">
        <f>'Cálculos y conversiones'!$B$11</f>
        <v>#NUM!</v>
      </c>
    </row>
    <row r="5" spans="1:5" x14ac:dyDescent="0.25">
      <c r="A5" t="s">
        <v>8</v>
      </c>
      <c r="C5" s="7" t="str">
        <f>'Cálculos y conversiones'!$B$12</f>
        <v>5</v>
      </c>
    </row>
    <row r="7" spans="1:5" x14ac:dyDescent="0.25">
      <c r="A7" s="12" t="s">
        <v>5</v>
      </c>
      <c r="B7" s="10" t="s">
        <v>2</v>
      </c>
      <c r="C7" s="10" t="s">
        <v>3</v>
      </c>
      <c r="D7" s="10" t="s">
        <v>1</v>
      </c>
      <c r="E7" s="10" t="s">
        <v>4</v>
      </c>
    </row>
    <row r="8" spans="1:5" x14ac:dyDescent="0.25">
      <c r="B8" s="6"/>
      <c r="C8" s="6"/>
      <c r="D8" s="6"/>
      <c r="E8" s="6" t="str">
        <f>IF(A8="","",'Cálculos y conversiones'!$B$10)</f>
        <v/>
      </c>
    </row>
    <row r="9" spans="1:5" x14ac:dyDescent="0.25">
      <c r="B9" s="6" t="str">
        <f>IF(A9="","",'Cálculos y conversiones'!$B$14)</f>
        <v/>
      </c>
      <c r="C9" s="6" t="str">
        <f>IF(A9="","",'Cálculos y conversiones'!$B$11*Tabla!E8)</f>
        <v/>
      </c>
      <c r="D9" s="6" t="str">
        <f>IF(A9="","",B9-C9)</f>
        <v/>
      </c>
      <c r="E9" s="6" t="str">
        <f>IF(A9="","",E8-D9)</f>
        <v/>
      </c>
    </row>
    <row r="10" spans="1:5" x14ac:dyDescent="0.25">
      <c r="B10" s="6" t="str">
        <f>IF(A10="","",'Cálculos y conversiones'!$B$14)</f>
        <v/>
      </c>
      <c r="C10" s="6" t="str">
        <f>IF(A10="","",'Cálculos y conversiones'!$B$11*Tabla!E9)</f>
        <v/>
      </c>
      <c r="D10" s="6" t="str">
        <f t="shared" ref="D10:D73" si="0">IF(A10="","",B10-C10)</f>
        <v/>
      </c>
      <c r="E10" s="6" t="str">
        <f t="shared" ref="E10:E73" si="1">IF(A10="","",E9-D10)</f>
        <v/>
      </c>
    </row>
    <row r="11" spans="1:5" x14ac:dyDescent="0.25">
      <c r="B11" s="6" t="str">
        <f>IF(A11="","",'Cálculos y conversiones'!$B$14)</f>
        <v/>
      </c>
      <c r="C11" s="6" t="str">
        <f>IF(A11="","",'Cálculos y conversiones'!$B$11*Tabla!E10)</f>
        <v/>
      </c>
      <c r="D11" s="6" t="str">
        <f t="shared" si="0"/>
        <v/>
      </c>
      <c r="E11" s="6" t="str">
        <f t="shared" si="1"/>
        <v/>
      </c>
    </row>
    <row r="12" spans="1:5" x14ac:dyDescent="0.25">
      <c r="B12" s="6" t="str">
        <f>IF(A12="","",'Cálculos y conversiones'!$B$14)</f>
        <v/>
      </c>
      <c r="C12" s="6" t="str">
        <f>IF(A12="","",'Cálculos y conversiones'!$B$11*Tabla!E11)</f>
        <v/>
      </c>
      <c r="D12" s="6" t="str">
        <f t="shared" si="0"/>
        <v/>
      </c>
      <c r="E12" s="6" t="str">
        <f t="shared" si="1"/>
        <v/>
      </c>
    </row>
    <row r="13" spans="1:5" x14ac:dyDescent="0.25">
      <c r="B13" s="6" t="str">
        <f>IF(A13="","",'Cálculos y conversiones'!$B$14)</f>
        <v/>
      </c>
      <c r="C13" s="6" t="str">
        <f>IF(A13="","",'Cálculos y conversiones'!$B$11*Tabla!E12)</f>
        <v/>
      </c>
      <c r="D13" s="6" t="str">
        <f t="shared" si="0"/>
        <v/>
      </c>
      <c r="E13" s="6" t="str">
        <f t="shared" si="1"/>
        <v/>
      </c>
    </row>
    <row r="14" spans="1:5" x14ac:dyDescent="0.25">
      <c r="B14" s="6" t="str">
        <f>IF(A14="","",'Cálculos y conversiones'!$B$14)</f>
        <v/>
      </c>
      <c r="C14" s="6" t="str">
        <f>IF(A14="","",'Cálculos y conversiones'!$B$11*Tabla!E13)</f>
        <v/>
      </c>
      <c r="D14" s="6" t="str">
        <f t="shared" si="0"/>
        <v/>
      </c>
      <c r="E14" s="6" t="str">
        <f t="shared" si="1"/>
        <v/>
      </c>
    </row>
    <row r="15" spans="1:5" x14ac:dyDescent="0.25">
      <c r="B15" s="6" t="str">
        <f>IF(A15="","",'Cálculos y conversiones'!$B$14)</f>
        <v/>
      </c>
      <c r="C15" s="6" t="str">
        <f>IF(A15="","",'Cálculos y conversiones'!$B$11*Tabla!E14)</f>
        <v/>
      </c>
      <c r="D15" s="6" t="str">
        <f t="shared" si="0"/>
        <v/>
      </c>
      <c r="E15" s="6" t="str">
        <f t="shared" si="1"/>
        <v/>
      </c>
    </row>
    <row r="16" spans="1:5" x14ac:dyDescent="0.25">
      <c r="B16" s="6" t="str">
        <f>IF(A16="","",'Cálculos y conversiones'!$B$14)</f>
        <v/>
      </c>
      <c r="C16" s="6" t="str">
        <f>IF(A16="","",'Cálculos y conversiones'!$B$11*Tabla!E15)</f>
        <v/>
      </c>
      <c r="D16" s="6" t="str">
        <f t="shared" si="0"/>
        <v/>
      </c>
      <c r="E16" s="6" t="str">
        <f t="shared" si="1"/>
        <v/>
      </c>
    </row>
    <row r="17" spans="2:5" x14ac:dyDescent="0.25">
      <c r="B17" s="6" t="str">
        <f>IF(A17="","",'Cálculos y conversiones'!$B$14)</f>
        <v/>
      </c>
      <c r="C17" s="6" t="str">
        <f>IF(A17="","",'Cálculos y conversiones'!$B$11*Tabla!E16)</f>
        <v/>
      </c>
      <c r="D17" s="6" t="str">
        <f t="shared" si="0"/>
        <v/>
      </c>
      <c r="E17" s="6" t="str">
        <f t="shared" si="1"/>
        <v/>
      </c>
    </row>
    <row r="18" spans="2:5" x14ac:dyDescent="0.25">
      <c r="B18" s="6" t="str">
        <f>IF(A18="","",'Cálculos y conversiones'!$B$14)</f>
        <v/>
      </c>
      <c r="C18" s="6" t="str">
        <f>IF(A18="","",'Cálculos y conversiones'!$B$11*Tabla!E17)</f>
        <v/>
      </c>
      <c r="D18" s="6" t="str">
        <f t="shared" si="0"/>
        <v/>
      </c>
      <c r="E18" s="6" t="str">
        <f t="shared" si="1"/>
        <v/>
      </c>
    </row>
    <row r="19" spans="2:5" x14ac:dyDescent="0.25">
      <c r="B19" s="6" t="str">
        <f>IF(A19="","",'Cálculos y conversiones'!$B$14)</f>
        <v/>
      </c>
      <c r="C19" s="6" t="str">
        <f>IF(A19="","",'Cálculos y conversiones'!$B$11*Tabla!E18)</f>
        <v/>
      </c>
      <c r="D19" s="6" t="str">
        <f t="shared" si="0"/>
        <v/>
      </c>
      <c r="E19" s="6" t="str">
        <f t="shared" si="1"/>
        <v/>
      </c>
    </row>
    <row r="20" spans="2:5" x14ac:dyDescent="0.25">
      <c r="B20" s="6" t="str">
        <f>IF(A20="","",'Cálculos y conversiones'!$B$14)</f>
        <v/>
      </c>
      <c r="C20" s="6" t="str">
        <f>IF(A20="","",'Cálculos y conversiones'!$B$11*Tabla!E19)</f>
        <v/>
      </c>
      <c r="D20" s="6" t="str">
        <f t="shared" si="0"/>
        <v/>
      </c>
      <c r="E20" s="6" t="str">
        <f t="shared" si="1"/>
        <v/>
      </c>
    </row>
    <row r="21" spans="2:5" x14ac:dyDescent="0.25">
      <c r="B21" s="6" t="str">
        <f>IF(A21="","",'Cálculos y conversiones'!$B$14)</f>
        <v/>
      </c>
      <c r="C21" s="6" t="str">
        <f>IF(A21="","",'Cálculos y conversiones'!$B$11*Tabla!E20)</f>
        <v/>
      </c>
      <c r="D21" s="6" t="str">
        <f t="shared" si="0"/>
        <v/>
      </c>
      <c r="E21" s="6" t="str">
        <f t="shared" si="1"/>
        <v/>
      </c>
    </row>
    <row r="22" spans="2:5" x14ac:dyDescent="0.25">
      <c r="B22" s="6" t="str">
        <f>IF(A22="","",'Cálculos y conversiones'!$B$14)</f>
        <v/>
      </c>
      <c r="C22" s="6" t="str">
        <f>IF(A22="","",'Cálculos y conversiones'!$B$11*Tabla!E21)</f>
        <v/>
      </c>
      <c r="D22" s="6" t="str">
        <f t="shared" si="0"/>
        <v/>
      </c>
      <c r="E22" s="6" t="str">
        <f t="shared" si="1"/>
        <v/>
      </c>
    </row>
    <row r="23" spans="2:5" x14ac:dyDescent="0.25">
      <c r="B23" s="6" t="str">
        <f>IF(A23="","",'Cálculos y conversiones'!$B$14)</f>
        <v/>
      </c>
      <c r="C23" s="6" t="str">
        <f>IF(A23="","",'Cálculos y conversiones'!$B$11*Tabla!E22)</f>
        <v/>
      </c>
      <c r="D23" s="6" t="str">
        <f t="shared" si="0"/>
        <v/>
      </c>
      <c r="E23" s="6" t="str">
        <f t="shared" si="1"/>
        <v/>
      </c>
    </row>
    <row r="24" spans="2:5" x14ac:dyDescent="0.25">
      <c r="B24" s="6" t="str">
        <f>IF(A24="","",'Cálculos y conversiones'!$B$14)</f>
        <v/>
      </c>
      <c r="C24" s="6" t="str">
        <f>IF(A24="","",'Cálculos y conversiones'!$B$11*Tabla!E23)</f>
        <v/>
      </c>
      <c r="D24" s="6" t="str">
        <f t="shared" si="0"/>
        <v/>
      </c>
      <c r="E24" s="6" t="str">
        <f t="shared" si="1"/>
        <v/>
      </c>
    </row>
    <row r="25" spans="2:5" x14ac:dyDescent="0.25">
      <c r="B25" s="6" t="str">
        <f>IF(A25="","",'Cálculos y conversiones'!$B$14)</f>
        <v/>
      </c>
      <c r="C25" s="6" t="str">
        <f>IF(A25="","",'Cálculos y conversiones'!$B$11*Tabla!E24)</f>
        <v/>
      </c>
      <c r="D25" s="6" t="str">
        <f t="shared" si="0"/>
        <v/>
      </c>
      <c r="E25" s="6" t="str">
        <f t="shared" si="1"/>
        <v/>
      </c>
    </row>
    <row r="26" spans="2:5" x14ac:dyDescent="0.25">
      <c r="B26" s="6" t="str">
        <f>IF(A26="","",'Cálculos y conversiones'!$B$14)</f>
        <v/>
      </c>
      <c r="C26" s="6" t="str">
        <f>IF(A26="","",'Cálculos y conversiones'!$B$11*Tabla!E25)</f>
        <v/>
      </c>
      <c r="D26" s="6" t="str">
        <f t="shared" si="0"/>
        <v/>
      </c>
      <c r="E26" s="6" t="str">
        <f t="shared" si="1"/>
        <v/>
      </c>
    </row>
    <row r="27" spans="2:5" x14ac:dyDescent="0.25">
      <c r="B27" s="6" t="str">
        <f>IF(A27="","",'Cálculos y conversiones'!$B$14)</f>
        <v/>
      </c>
      <c r="C27" s="6" t="str">
        <f>IF(A27="","",'Cálculos y conversiones'!$B$11*Tabla!E26)</f>
        <v/>
      </c>
      <c r="D27" s="6" t="str">
        <f t="shared" si="0"/>
        <v/>
      </c>
      <c r="E27" s="6" t="str">
        <f t="shared" si="1"/>
        <v/>
      </c>
    </row>
    <row r="28" spans="2:5" x14ac:dyDescent="0.25">
      <c r="B28" s="6" t="str">
        <f>IF(A28="","",'Cálculos y conversiones'!$B$14)</f>
        <v/>
      </c>
      <c r="C28" s="6" t="str">
        <f>IF(A28="","",'Cálculos y conversiones'!$B$11*Tabla!E27)</f>
        <v/>
      </c>
      <c r="D28" s="6" t="str">
        <f t="shared" si="0"/>
        <v/>
      </c>
      <c r="E28" s="6" t="str">
        <f t="shared" si="1"/>
        <v/>
      </c>
    </row>
    <row r="29" spans="2:5" x14ac:dyDescent="0.25">
      <c r="B29" s="6" t="str">
        <f>IF(A29="","",'Cálculos y conversiones'!$B$14)</f>
        <v/>
      </c>
      <c r="C29" s="6" t="str">
        <f>IF(A29="","",'Cálculos y conversiones'!$B$11*Tabla!E28)</f>
        <v/>
      </c>
      <c r="D29" s="6" t="str">
        <f t="shared" si="0"/>
        <v/>
      </c>
      <c r="E29" s="6" t="str">
        <f t="shared" si="1"/>
        <v/>
      </c>
    </row>
    <row r="30" spans="2:5" x14ac:dyDescent="0.25">
      <c r="B30" s="6" t="str">
        <f>IF(A30="","",'Cálculos y conversiones'!$B$14)</f>
        <v/>
      </c>
      <c r="C30" s="6" t="str">
        <f>IF(A30="","",'Cálculos y conversiones'!$B$11*Tabla!E29)</f>
        <v/>
      </c>
      <c r="D30" s="6" t="str">
        <f t="shared" si="0"/>
        <v/>
      </c>
      <c r="E30" s="6" t="str">
        <f t="shared" si="1"/>
        <v/>
      </c>
    </row>
    <row r="31" spans="2:5" x14ac:dyDescent="0.25">
      <c r="B31" s="6" t="str">
        <f>IF(A31="","",'Cálculos y conversiones'!$B$14)</f>
        <v/>
      </c>
      <c r="C31" s="6" t="str">
        <f>IF(A31="","",'Cálculos y conversiones'!$B$11*Tabla!E30)</f>
        <v/>
      </c>
      <c r="D31" s="6" t="str">
        <f t="shared" si="0"/>
        <v/>
      </c>
      <c r="E31" s="6" t="str">
        <f t="shared" si="1"/>
        <v/>
      </c>
    </row>
    <row r="32" spans="2:5" x14ac:dyDescent="0.25">
      <c r="B32" s="6" t="str">
        <f>IF(A32="","",'Cálculos y conversiones'!$B$14)</f>
        <v/>
      </c>
      <c r="C32" s="6" t="str">
        <f>IF(A32="","",'Cálculos y conversiones'!$B$11*Tabla!E31)</f>
        <v/>
      </c>
      <c r="D32" s="6" t="str">
        <f t="shared" si="0"/>
        <v/>
      </c>
      <c r="E32" s="6" t="str">
        <f t="shared" si="1"/>
        <v/>
      </c>
    </row>
    <row r="33" spans="2:5" x14ac:dyDescent="0.25">
      <c r="B33" s="6" t="str">
        <f>IF(A33="","",'Cálculos y conversiones'!$B$14)</f>
        <v/>
      </c>
      <c r="C33" s="6" t="str">
        <f>IF(A33="","",'Cálculos y conversiones'!$B$11*Tabla!E32)</f>
        <v/>
      </c>
      <c r="D33" s="6" t="str">
        <f t="shared" si="0"/>
        <v/>
      </c>
      <c r="E33" s="6" t="str">
        <f t="shared" si="1"/>
        <v/>
      </c>
    </row>
    <row r="34" spans="2:5" x14ac:dyDescent="0.25">
      <c r="B34" s="6" t="str">
        <f>IF(A34="","",'Cálculos y conversiones'!$B$14)</f>
        <v/>
      </c>
      <c r="C34" s="6" t="str">
        <f>IF(A34="","",'Cálculos y conversiones'!$B$11*Tabla!E33)</f>
        <v/>
      </c>
      <c r="D34" s="6" t="str">
        <f t="shared" si="0"/>
        <v/>
      </c>
      <c r="E34" s="6" t="str">
        <f t="shared" si="1"/>
        <v/>
      </c>
    </row>
    <row r="35" spans="2:5" x14ac:dyDescent="0.25">
      <c r="B35" s="6" t="str">
        <f>IF(A35="","",'Cálculos y conversiones'!$B$14)</f>
        <v/>
      </c>
      <c r="C35" s="6" t="str">
        <f>IF(A35="","",'Cálculos y conversiones'!$B$11*Tabla!E34)</f>
        <v/>
      </c>
      <c r="D35" s="6" t="str">
        <f t="shared" si="0"/>
        <v/>
      </c>
      <c r="E35" s="6" t="str">
        <f t="shared" si="1"/>
        <v/>
      </c>
    </row>
    <row r="36" spans="2:5" x14ac:dyDescent="0.25">
      <c r="B36" s="6" t="str">
        <f>IF(A36="","",'Cálculos y conversiones'!$B$14)</f>
        <v/>
      </c>
      <c r="C36" s="6" t="str">
        <f>IF(A36="","",'Cálculos y conversiones'!$B$11*Tabla!E35)</f>
        <v/>
      </c>
      <c r="D36" s="6" t="str">
        <f t="shared" si="0"/>
        <v/>
      </c>
      <c r="E36" s="6" t="str">
        <f t="shared" si="1"/>
        <v/>
      </c>
    </row>
    <row r="37" spans="2:5" x14ac:dyDescent="0.25">
      <c r="B37" s="6" t="str">
        <f>IF(A37="","",'Cálculos y conversiones'!$B$14)</f>
        <v/>
      </c>
      <c r="C37" s="6" t="str">
        <f>IF(A37="","",'Cálculos y conversiones'!$B$11*Tabla!E36)</f>
        <v/>
      </c>
      <c r="D37" s="6" t="str">
        <f t="shared" si="0"/>
        <v/>
      </c>
      <c r="E37" s="6" t="str">
        <f t="shared" si="1"/>
        <v/>
      </c>
    </row>
    <row r="38" spans="2:5" x14ac:dyDescent="0.25">
      <c r="B38" s="6" t="str">
        <f>IF(A38="","",'Cálculos y conversiones'!$B$14)</f>
        <v/>
      </c>
      <c r="C38" s="6" t="str">
        <f>IF(A38="","",'Cálculos y conversiones'!$B$11*Tabla!E37)</f>
        <v/>
      </c>
      <c r="D38" s="6" t="str">
        <f t="shared" si="0"/>
        <v/>
      </c>
      <c r="E38" s="6" t="str">
        <f t="shared" si="1"/>
        <v/>
      </c>
    </row>
    <row r="39" spans="2:5" x14ac:dyDescent="0.25">
      <c r="B39" s="6" t="str">
        <f>IF(A39="","",'Cálculos y conversiones'!$B$14)</f>
        <v/>
      </c>
      <c r="C39" s="6" t="str">
        <f>IF(A39="","",'Cálculos y conversiones'!$B$11*Tabla!E38)</f>
        <v/>
      </c>
      <c r="D39" s="6" t="str">
        <f t="shared" si="0"/>
        <v/>
      </c>
      <c r="E39" s="6" t="str">
        <f t="shared" si="1"/>
        <v/>
      </c>
    </row>
    <row r="40" spans="2:5" x14ac:dyDescent="0.25">
      <c r="B40" s="6" t="str">
        <f>IF(A40="","",'Cálculos y conversiones'!$B$14)</f>
        <v/>
      </c>
      <c r="C40" s="6" t="str">
        <f>IF(A40="","",'Cálculos y conversiones'!$B$11*Tabla!E39)</f>
        <v/>
      </c>
      <c r="D40" s="6" t="str">
        <f t="shared" si="0"/>
        <v/>
      </c>
      <c r="E40" s="6" t="str">
        <f t="shared" si="1"/>
        <v/>
      </c>
    </row>
    <row r="41" spans="2:5" x14ac:dyDescent="0.25">
      <c r="B41" s="6" t="str">
        <f>IF(A41="","",'Cálculos y conversiones'!$B$14)</f>
        <v/>
      </c>
      <c r="C41" s="6" t="str">
        <f>IF(A41="","",'Cálculos y conversiones'!$B$11*Tabla!E40)</f>
        <v/>
      </c>
      <c r="D41" s="6" t="str">
        <f t="shared" si="0"/>
        <v/>
      </c>
      <c r="E41" s="6" t="str">
        <f t="shared" si="1"/>
        <v/>
      </c>
    </row>
    <row r="42" spans="2:5" x14ac:dyDescent="0.25">
      <c r="B42" s="6" t="str">
        <f>IF(A42="","",'Cálculos y conversiones'!$B$14)</f>
        <v/>
      </c>
      <c r="C42" s="6" t="str">
        <f>IF(A42="","",'Cálculos y conversiones'!$B$11*Tabla!E41)</f>
        <v/>
      </c>
      <c r="D42" s="6" t="str">
        <f t="shared" si="0"/>
        <v/>
      </c>
      <c r="E42" s="6" t="str">
        <f t="shared" si="1"/>
        <v/>
      </c>
    </row>
    <row r="43" spans="2:5" x14ac:dyDescent="0.25">
      <c r="B43" s="6" t="str">
        <f>IF(A43="","",'Cálculos y conversiones'!$B$14)</f>
        <v/>
      </c>
      <c r="C43" s="6" t="str">
        <f>IF(A43="","",'Cálculos y conversiones'!$B$11*Tabla!E42)</f>
        <v/>
      </c>
      <c r="D43" s="6" t="str">
        <f t="shared" si="0"/>
        <v/>
      </c>
      <c r="E43" s="6" t="str">
        <f t="shared" si="1"/>
        <v/>
      </c>
    </row>
    <row r="44" spans="2:5" x14ac:dyDescent="0.25">
      <c r="B44" s="6" t="str">
        <f>IF(A44="","",'Cálculos y conversiones'!$B$14)</f>
        <v/>
      </c>
      <c r="C44" s="6" t="str">
        <f>IF(A44="","",'Cálculos y conversiones'!$B$11*Tabla!E43)</f>
        <v/>
      </c>
      <c r="D44" s="6" t="str">
        <f t="shared" si="0"/>
        <v/>
      </c>
      <c r="E44" s="6" t="str">
        <f t="shared" si="1"/>
        <v/>
      </c>
    </row>
    <row r="45" spans="2:5" x14ac:dyDescent="0.25">
      <c r="B45" s="6" t="str">
        <f>IF(A45="","",'Cálculos y conversiones'!$B$14)</f>
        <v/>
      </c>
      <c r="C45" s="6" t="str">
        <f>IF(A45="","",'Cálculos y conversiones'!$B$11*Tabla!E44)</f>
        <v/>
      </c>
      <c r="D45" s="6" t="str">
        <f t="shared" si="0"/>
        <v/>
      </c>
      <c r="E45" s="6" t="str">
        <f t="shared" si="1"/>
        <v/>
      </c>
    </row>
    <row r="46" spans="2:5" x14ac:dyDescent="0.25">
      <c r="B46" s="6" t="str">
        <f>IF(A46="","",'Cálculos y conversiones'!$B$14)</f>
        <v/>
      </c>
      <c r="C46" s="6" t="str">
        <f>IF(A46="","",'Cálculos y conversiones'!$B$11*Tabla!E45)</f>
        <v/>
      </c>
      <c r="D46" s="6" t="str">
        <f t="shared" si="0"/>
        <v/>
      </c>
      <c r="E46" s="6" t="str">
        <f t="shared" si="1"/>
        <v/>
      </c>
    </row>
    <row r="47" spans="2:5" x14ac:dyDescent="0.25">
      <c r="B47" s="6" t="str">
        <f>IF(A47="","",'Cálculos y conversiones'!$B$14)</f>
        <v/>
      </c>
      <c r="C47" s="6" t="str">
        <f>IF(A47="","",'Cálculos y conversiones'!$B$11*Tabla!E46)</f>
        <v/>
      </c>
      <c r="D47" s="6" t="str">
        <f t="shared" si="0"/>
        <v/>
      </c>
      <c r="E47" s="6" t="str">
        <f t="shared" si="1"/>
        <v/>
      </c>
    </row>
    <row r="48" spans="2:5" x14ac:dyDescent="0.25">
      <c r="B48" s="6" t="str">
        <f>IF(A48="","",'Cálculos y conversiones'!$B$14)</f>
        <v/>
      </c>
      <c r="C48" s="6" t="str">
        <f>IF(A48="","",'Cálculos y conversiones'!$B$11*Tabla!E47)</f>
        <v/>
      </c>
      <c r="D48" s="6" t="str">
        <f t="shared" si="0"/>
        <v/>
      </c>
      <c r="E48" s="6" t="str">
        <f t="shared" si="1"/>
        <v/>
      </c>
    </row>
    <row r="49" spans="2:5" x14ac:dyDescent="0.25">
      <c r="B49" s="6" t="str">
        <f>IF(A49="","",'Cálculos y conversiones'!$B$14)</f>
        <v/>
      </c>
      <c r="C49" s="6" t="str">
        <f>IF(A49="","",'Cálculos y conversiones'!$B$11*Tabla!E48)</f>
        <v/>
      </c>
      <c r="D49" s="6" t="str">
        <f t="shared" si="0"/>
        <v/>
      </c>
      <c r="E49" s="6" t="str">
        <f t="shared" si="1"/>
        <v/>
      </c>
    </row>
    <row r="50" spans="2:5" x14ac:dyDescent="0.25">
      <c r="B50" s="6" t="str">
        <f>IF(A50="","",'Cálculos y conversiones'!$B$14)</f>
        <v/>
      </c>
      <c r="C50" s="6" t="str">
        <f>IF(A50="","",'Cálculos y conversiones'!$B$11*Tabla!E49)</f>
        <v/>
      </c>
      <c r="D50" s="6" t="str">
        <f t="shared" si="0"/>
        <v/>
      </c>
      <c r="E50" s="6" t="str">
        <f t="shared" si="1"/>
        <v/>
      </c>
    </row>
    <row r="51" spans="2:5" x14ac:dyDescent="0.25">
      <c r="B51" s="6" t="str">
        <f>IF(A51="","",'Cálculos y conversiones'!$B$14)</f>
        <v/>
      </c>
      <c r="C51" s="6" t="str">
        <f>IF(A51="","",'Cálculos y conversiones'!$B$11*Tabla!E50)</f>
        <v/>
      </c>
      <c r="D51" s="6" t="str">
        <f t="shared" si="0"/>
        <v/>
      </c>
      <c r="E51" s="6" t="str">
        <f t="shared" si="1"/>
        <v/>
      </c>
    </row>
    <row r="52" spans="2:5" x14ac:dyDescent="0.25">
      <c r="B52" s="6" t="str">
        <f>IF(A52="","",'Cálculos y conversiones'!$B$14)</f>
        <v/>
      </c>
      <c r="C52" s="6" t="str">
        <f>IF(A52="","",'Cálculos y conversiones'!$B$11*Tabla!E51)</f>
        <v/>
      </c>
      <c r="D52" s="6" t="str">
        <f t="shared" si="0"/>
        <v/>
      </c>
      <c r="E52" s="6" t="str">
        <f t="shared" si="1"/>
        <v/>
      </c>
    </row>
    <row r="53" spans="2:5" x14ac:dyDescent="0.25">
      <c r="B53" s="6" t="str">
        <f>IF(A53="","",'Cálculos y conversiones'!$B$14)</f>
        <v/>
      </c>
      <c r="C53" s="6" t="str">
        <f>IF(A53="","",'Cálculos y conversiones'!$B$11*Tabla!E52)</f>
        <v/>
      </c>
      <c r="D53" s="6" t="str">
        <f t="shared" si="0"/>
        <v/>
      </c>
      <c r="E53" s="6" t="str">
        <f t="shared" si="1"/>
        <v/>
      </c>
    </row>
    <row r="54" spans="2:5" x14ac:dyDescent="0.25">
      <c r="B54" s="6" t="str">
        <f>IF(A54="","",'Cálculos y conversiones'!$B$14)</f>
        <v/>
      </c>
      <c r="C54" s="6" t="str">
        <f>IF(A54="","",'Cálculos y conversiones'!$B$11*Tabla!E53)</f>
        <v/>
      </c>
      <c r="D54" s="6" t="str">
        <f t="shared" si="0"/>
        <v/>
      </c>
      <c r="E54" s="6" t="str">
        <f t="shared" si="1"/>
        <v/>
      </c>
    </row>
    <row r="55" spans="2:5" x14ac:dyDescent="0.25">
      <c r="B55" s="6" t="str">
        <f>IF(A55="","",'Cálculos y conversiones'!$B$14)</f>
        <v/>
      </c>
      <c r="C55" s="6" t="str">
        <f>IF(A55="","",'Cálculos y conversiones'!$B$11*Tabla!E54)</f>
        <v/>
      </c>
      <c r="D55" s="6" t="str">
        <f t="shared" si="0"/>
        <v/>
      </c>
      <c r="E55" s="6" t="str">
        <f t="shared" si="1"/>
        <v/>
      </c>
    </row>
    <row r="56" spans="2:5" x14ac:dyDescent="0.25">
      <c r="B56" s="6" t="str">
        <f>IF(A56="","",'Cálculos y conversiones'!$B$14)</f>
        <v/>
      </c>
      <c r="C56" s="6" t="str">
        <f>IF(A56="","",'Cálculos y conversiones'!$B$11*Tabla!E55)</f>
        <v/>
      </c>
      <c r="D56" s="6" t="str">
        <f t="shared" si="0"/>
        <v/>
      </c>
      <c r="E56" s="6" t="str">
        <f t="shared" si="1"/>
        <v/>
      </c>
    </row>
    <row r="57" spans="2:5" x14ac:dyDescent="0.25">
      <c r="B57" s="6" t="str">
        <f>IF(A57="","",'Cálculos y conversiones'!$B$14)</f>
        <v/>
      </c>
      <c r="C57" s="6" t="str">
        <f>IF(A57="","",'Cálculos y conversiones'!$B$11*Tabla!E56)</f>
        <v/>
      </c>
      <c r="D57" s="6" t="str">
        <f t="shared" si="0"/>
        <v/>
      </c>
      <c r="E57" s="6" t="str">
        <f t="shared" si="1"/>
        <v/>
      </c>
    </row>
    <row r="58" spans="2:5" x14ac:dyDescent="0.25">
      <c r="B58" s="6" t="str">
        <f>IF(A58="","",'Cálculos y conversiones'!$B$14)</f>
        <v/>
      </c>
      <c r="C58" s="6" t="str">
        <f>IF(A58="","",'Cálculos y conversiones'!$B$11*Tabla!E57)</f>
        <v/>
      </c>
      <c r="D58" s="6" t="str">
        <f t="shared" si="0"/>
        <v/>
      </c>
      <c r="E58" s="6" t="str">
        <f t="shared" si="1"/>
        <v/>
      </c>
    </row>
    <row r="59" spans="2:5" x14ac:dyDescent="0.25">
      <c r="B59" s="6" t="str">
        <f>IF(A59="","",'Cálculos y conversiones'!$B$14)</f>
        <v/>
      </c>
      <c r="C59" s="6" t="str">
        <f>IF(A59="","",'Cálculos y conversiones'!$B$11*Tabla!E58)</f>
        <v/>
      </c>
      <c r="D59" s="6" t="str">
        <f t="shared" si="0"/>
        <v/>
      </c>
      <c r="E59" s="6" t="str">
        <f t="shared" si="1"/>
        <v/>
      </c>
    </row>
    <row r="60" spans="2:5" x14ac:dyDescent="0.25">
      <c r="B60" s="6" t="str">
        <f>IF(A60="","",'Cálculos y conversiones'!$B$14)</f>
        <v/>
      </c>
      <c r="C60" s="6" t="str">
        <f>IF(A60="","",'Cálculos y conversiones'!$B$11*Tabla!E59)</f>
        <v/>
      </c>
      <c r="D60" s="6" t="str">
        <f t="shared" si="0"/>
        <v/>
      </c>
      <c r="E60" s="6" t="str">
        <f t="shared" si="1"/>
        <v/>
      </c>
    </row>
    <row r="61" spans="2:5" x14ac:dyDescent="0.25">
      <c r="B61" s="6" t="str">
        <f>IF(A61="","",'Cálculos y conversiones'!$B$14)</f>
        <v/>
      </c>
      <c r="C61" s="6" t="str">
        <f>IF(A61="","",'Cálculos y conversiones'!$B$11*Tabla!E60)</f>
        <v/>
      </c>
      <c r="D61" s="6" t="str">
        <f t="shared" si="0"/>
        <v/>
      </c>
      <c r="E61" s="6" t="str">
        <f t="shared" si="1"/>
        <v/>
      </c>
    </row>
    <row r="62" spans="2:5" x14ac:dyDescent="0.25">
      <c r="B62" s="6" t="str">
        <f>IF(A62="","",'Cálculos y conversiones'!$B$14)</f>
        <v/>
      </c>
      <c r="C62" s="6" t="str">
        <f>IF(A62="","",'Cálculos y conversiones'!$B$11*Tabla!E61)</f>
        <v/>
      </c>
      <c r="D62" s="6" t="str">
        <f t="shared" si="0"/>
        <v/>
      </c>
      <c r="E62" s="6" t="str">
        <f t="shared" si="1"/>
        <v/>
      </c>
    </row>
    <row r="63" spans="2:5" x14ac:dyDescent="0.25">
      <c r="B63" s="6" t="str">
        <f>IF(A63="","",'Cálculos y conversiones'!$B$14)</f>
        <v/>
      </c>
      <c r="C63" s="6" t="str">
        <f>IF(A63="","",'Cálculos y conversiones'!$B$11*Tabla!E62)</f>
        <v/>
      </c>
      <c r="D63" s="6" t="str">
        <f t="shared" si="0"/>
        <v/>
      </c>
      <c r="E63" s="6" t="str">
        <f t="shared" si="1"/>
        <v/>
      </c>
    </row>
    <row r="64" spans="2:5" x14ac:dyDescent="0.25">
      <c r="B64" s="6" t="str">
        <f>IF(A64="","",'Cálculos y conversiones'!$B$14)</f>
        <v/>
      </c>
      <c r="C64" s="6" t="str">
        <f>IF(A64="","",'Cálculos y conversiones'!$B$11*Tabla!E63)</f>
        <v/>
      </c>
      <c r="D64" s="6" t="str">
        <f t="shared" si="0"/>
        <v/>
      </c>
      <c r="E64" s="6" t="str">
        <f t="shared" si="1"/>
        <v/>
      </c>
    </row>
    <row r="65" spans="2:5" x14ac:dyDescent="0.25">
      <c r="B65" s="6" t="str">
        <f>IF(A65="","",'Cálculos y conversiones'!$B$14)</f>
        <v/>
      </c>
      <c r="C65" s="6" t="str">
        <f>IF(A65="","",'Cálculos y conversiones'!$B$11*Tabla!E64)</f>
        <v/>
      </c>
      <c r="D65" s="6" t="str">
        <f t="shared" si="0"/>
        <v/>
      </c>
      <c r="E65" s="6" t="str">
        <f t="shared" si="1"/>
        <v/>
      </c>
    </row>
    <row r="66" spans="2:5" x14ac:dyDescent="0.25">
      <c r="B66" s="6" t="str">
        <f>IF(A66="","",'Cálculos y conversiones'!$B$14)</f>
        <v/>
      </c>
      <c r="C66" s="6" t="str">
        <f>IF(A66="","",'Cálculos y conversiones'!$B$11*Tabla!E65)</f>
        <v/>
      </c>
      <c r="D66" s="6" t="str">
        <f t="shared" si="0"/>
        <v/>
      </c>
      <c r="E66" s="6" t="str">
        <f t="shared" si="1"/>
        <v/>
      </c>
    </row>
    <row r="67" spans="2:5" x14ac:dyDescent="0.25">
      <c r="B67" s="6" t="str">
        <f>IF(A67="","",'Cálculos y conversiones'!$B$14)</f>
        <v/>
      </c>
      <c r="C67" s="6" t="str">
        <f>IF(A67="","",'Cálculos y conversiones'!$B$11*Tabla!E66)</f>
        <v/>
      </c>
      <c r="D67" s="6" t="str">
        <f t="shared" si="0"/>
        <v/>
      </c>
      <c r="E67" s="6" t="str">
        <f t="shared" si="1"/>
        <v/>
      </c>
    </row>
    <row r="68" spans="2:5" x14ac:dyDescent="0.25">
      <c r="B68" s="6" t="str">
        <f>IF(A68="","",'Cálculos y conversiones'!$B$14)</f>
        <v/>
      </c>
      <c r="C68" s="6" t="str">
        <f>IF(A68="","",'Cálculos y conversiones'!$B$11*Tabla!E67)</f>
        <v/>
      </c>
      <c r="D68" s="6" t="str">
        <f t="shared" si="0"/>
        <v/>
      </c>
      <c r="E68" s="6" t="str">
        <f t="shared" si="1"/>
        <v/>
      </c>
    </row>
    <row r="69" spans="2:5" x14ac:dyDescent="0.25">
      <c r="B69" s="6" t="str">
        <f>IF(A69="","",'Cálculos y conversiones'!$B$14)</f>
        <v/>
      </c>
      <c r="C69" s="6" t="str">
        <f>IF(A69="","",'Cálculos y conversiones'!$B$11*Tabla!E68)</f>
        <v/>
      </c>
      <c r="D69" s="6" t="str">
        <f t="shared" si="0"/>
        <v/>
      </c>
      <c r="E69" s="6" t="str">
        <f t="shared" si="1"/>
        <v/>
      </c>
    </row>
    <row r="70" spans="2:5" x14ac:dyDescent="0.25">
      <c r="B70" s="6" t="str">
        <f>IF(A70="","",'Cálculos y conversiones'!$B$14)</f>
        <v/>
      </c>
      <c r="C70" s="6" t="str">
        <f>IF(A70="","",'Cálculos y conversiones'!$B$11*Tabla!E69)</f>
        <v/>
      </c>
      <c r="D70" s="6" t="str">
        <f t="shared" si="0"/>
        <v/>
      </c>
      <c r="E70" s="6" t="str">
        <f t="shared" si="1"/>
        <v/>
      </c>
    </row>
    <row r="71" spans="2:5" x14ac:dyDescent="0.25">
      <c r="B71" s="6" t="str">
        <f>IF(A71="","",'Cálculos y conversiones'!$B$14)</f>
        <v/>
      </c>
      <c r="C71" s="6" t="str">
        <f>IF(A71="","",'Cálculos y conversiones'!$B$11*Tabla!E70)</f>
        <v/>
      </c>
      <c r="D71" s="6" t="str">
        <f t="shared" si="0"/>
        <v/>
      </c>
      <c r="E71" s="6" t="str">
        <f t="shared" si="1"/>
        <v/>
      </c>
    </row>
    <row r="72" spans="2:5" x14ac:dyDescent="0.25">
      <c r="B72" s="6" t="str">
        <f>IF(A72="","",'Cálculos y conversiones'!$B$14)</f>
        <v/>
      </c>
      <c r="C72" s="6" t="str">
        <f>IF(A72="","",'Cálculos y conversiones'!$B$11*Tabla!E71)</f>
        <v/>
      </c>
      <c r="D72" s="6" t="str">
        <f t="shared" si="0"/>
        <v/>
      </c>
      <c r="E72" s="6" t="str">
        <f t="shared" si="1"/>
        <v/>
      </c>
    </row>
    <row r="73" spans="2:5" x14ac:dyDescent="0.25">
      <c r="B73" s="6" t="str">
        <f>IF(A73="","",'Cálculos y conversiones'!$B$14)</f>
        <v/>
      </c>
      <c r="C73" s="6" t="str">
        <f>IF(A73="","",'Cálculos y conversiones'!$B$11*Tabla!E72)</f>
        <v/>
      </c>
      <c r="D73" s="6" t="str">
        <f t="shared" si="0"/>
        <v/>
      </c>
      <c r="E73" s="6" t="str">
        <f t="shared" si="1"/>
        <v/>
      </c>
    </row>
    <row r="74" spans="2:5" x14ac:dyDescent="0.25">
      <c r="B74" s="6" t="str">
        <f>IF(A74="","",'Cálculos y conversiones'!$B$14)</f>
        <v/>
      </c>
      <c r="C74" s="6" t="str">
        <f>IF(A74="","",'Cálculos y conversiones'!$B$11*Tabla!E73)</f>
        <v/>
      </c>
      <c r="D74" s="6" t="str">
        <f t="shared" ref="D74:D137" si="2">IF(A74="","",B74-C74)</f>
        <v/>
      </c>
      <c r="E74" s="6" t="str">
        <f t="shared" ref="E74:E137" si="3">IF(A74="","",E73-D74)</f>
        <v/>
      </c>
    </row>
    <row r="75" spans="2:5" x14ac:dyDescent="0.25">
      <c r="B75" s="6" t="str">
        <f>IF(A75="","",'Cálculos y conversiones'!$B$14)</f>
        <v/>
      </c>
      <c r="C75" s="6" t="str">
        <f>IF(A75="","",'Cálculos y conversiones'!$B$11*Tabla!E74)</f>
        <v/>
      </c>
      <c r="D75" s="6" t="str">
        <f t="shared" si="2"/>
        <v/>
      </c>
      <c r="E75" s="6" t="str">
        <f t="shared" si="3"/>
        <v/>
      </c>
    </row>
    <row r="76" spans="2:5" x14ac:dyDescent="0.25">
      <c r="B76" s="6" t="str">
        <f>IF(A76="","",'Cálculos y conversiones'!$B$14)</f>
        <v/>
      </c>
      <c r="C76" s="6" t="str">
        <f>IF(A76="","",'Cálculos y conversiones'!$B$11*Tabla!E75)</f>
        <v/>
      </c>
      <c r="D76" s="6" t="str">
        <f t="shared" si="2"/>
        <v/>
      </c>
      <c r="E76" s="6" t="str">
        <f t="shared" si="3"/>
        <v/>
      </c>
    </row>
    <row r="77" spans="2:5" x14ac:dyDescent="0.25">
      <c r="B77" s="6" t="str">
        <f>IF(A77="","",'Cálculos y conversiones'!$B$14)</f>
        <v/>
      </c>
      <c r="C77" s="6" t="str">
        <f>IF(A77="","",'Cálculos y conversiones'!$B$11*Tabla!E76)</f>
        <v/>
      </c>
      <c r="D77" s="6" t="str">
        <f t="shared" si="2"/>
        <v/>
      </c>
      <c r="E77" s="6" t="str">
        <f t="shared" si="3"/>
        <v/>
      </c>
    </row>
    <row r="78" spans="2:5" x14ac:dyDescent="0.25">
      <c r="B78" s="6" t="str">
        <f>IF(A78="","",'Cálculos y conversiones'!$B$14)</f>
        <v/>
      </c>
      <c r="C78" s="6" t="str">
        <f>IF(A78="","",'Cálculos y conversiones'!$B$11*Tabla!E77)</f>
        <v/>
      </c>
      <c r="D78" s="6" t="str">
        <f t="shared" si="2"/>
        <v/>
      </c>
      <c r="E78" s="6" t="str">
        <f t="shared" si="3"/>
        <v/>
      </c>
    </row>
    <row r="79" spans="2:5" x14ac:dyDescent="0.25">
      <c r="B79" s="6" t="str">
        <f>IF(A79="","",'Cálculos y conversiones'!$B$14)</f>
        <v/>
      </c>
      <c r="C79" s="6" t="str">
        <f>IF(A79="","",'Cálculos y conversiones'!$B$11*Tabla!E78)</f>
        <v/>
      </c>
      <c r="D79" s="6" t="str">
        <f t="shared" si="2"/>
        <v/>
      </c>
      <c r="E79" s="6" t="str">
        <f t="shared" si="3"/>
        <v/>
      </c>
    </row>
    <row r="80" spans="2:5" x14ac:dyDescent="0.25">
      <c r="B80" s="6" t="str">
        <f>IF(A80="","",'Cálculos y conversiones'!$B$14)</f>
        <v/>
      </c>
      <c r="C80" s="6" t="str">
        <f>IF(A80="","",'Cálculos y conversiones'!$B$11*Tabla!E79)</f>
        <v/>
      </c>
      <c r="D80" s="6" t="str">
        <f t="shared" si="2"/>
        <v/>
      </c>
      <c r="E80" s="6" t="str">
        <f t="shared" si="3"/>
        <v/>
      </c>
    </row>
    <row r="81" spans="2:5" x14ac:dyDescent="0.25">
      <c r="B81" s="6" t="str">
        <f>IF(A81="","",'Cálculos y conversiones'!$B$14)</f>
        <v/>
      </c>
      <c r="C81" s="6" t="str">
        <f>IF(A81="","",'Cálculos y conversiones'!$B$11*Tabla!E80)</f>
        <v/>
      </c>
      <c r="D81" s="6" t="str">
        <f t="shared" si="2"/>
        <v/>
      </c>
      <c r="E81" s="6" t="str">
        <f t="shared" si="3"/>
        <v/>
      </c>
    </row>
    <row r="82" spans="2:5" x14ac:dyDescent="0.25">
      <c r="B82" s="6" t="str">
        <f>IF(A82="","",'Cálculos y conversiones'!$B$14)</f>
        <v/>
      </c>
      <c r="C82" s="6" t="str">
        <f>IF(A82="","",'Cálculos y conversiones'!$B$11*Tabla!E81)</f>
        <v/>
      </c>
      <c r="D82" s="6" t="str">
        <f t="shared" si="2"/>
        <v/>
      </c>
      <c r="E82" s="6" t="str">
        <f t="shared" si="3"/>
        <v/>
      </c>
    </row>
    <row r="83" spans="2:5" x14ac:dyDescent="0.25">
      <c r="B83" s="6" t="str">
        <f>IF(A83="","",'Cálculos y conversiones'!$B$14)</f>
        <v/>
      </c>
      <c r="C83" s="6" t="str">
        <f>IF(A83="","",'Cálculos y conversiones'!$B$11*Tabla!E82)</f>
        <v/>
      </c>
      <c r="D83" s="6" t="str">
        <f t="shared" si="2"/>
        <v/>
      </c>
      <c r="E83" s="6" t="str">
        <f t="shared" si="3"/>
        <v/>
      </c>
    </row>
    <row r="84" spans="2:5" x14ac:dyDescent="0.25">
      <c r="B84" s="6" t="str">
        <f>IF(A84="","",'Cálculos y conversiones'!$B$14)</f>
        <v/>
      </c>
      <c r="C84" s="6" t="str">
        <f>IF(A84="","",'Cálculos y conversiones'!$B$11*Tabla!E83)</f>
        <v/>
      </c>
      <c r="D84" s="6" t="str">
        <f t="shared" si="2"/>
        <v/>
      </c>
      <c r="E84" s="6" t="str">
        <f t="shared" si="3"/>
        <v/>
      </c>
    </row>
    <row r="85" spans="2:5" x14ac:dyDescent="0.25">
      <c r="B85" s="6" t="str">
        <f>IF(A85="","",'Cálculos y conversiones'!$B$14)</f>
        <v/>
      </c>
      <c r="C85" s="6" t="str">
        <f>IF(A85="","",'Cálculos y conversiones'!$B$11*Tabla!E84)</f>
        <v/>
      </c>
      <c r="D85" s="6" t="str">
        <f t="shared" si="2"/>
        <v/>
      </c>
      <c r="E85" s="6" t="str">
        <f t="shared" si="3"/>
        <v/>
      </c>
    </row>
    <row r="86" spans="2:5" x14ac:dyDescent="0.25">
      <c r="B86" s="6" t="str">
        <f>IF(A86="","",'Cálculos y conversiones'!$B$14)</f>
        <v/>
      </c>
      <c r="C86" s="6" t="str">
        <f>IF(A86="","",'Cálculos y conversiones'!$B$11*Tabla!E85)</f>
        <v/>
      </c>
      <c r="D86" s="6" t="str">
        <f t="shared" si="2"/>
        <v/>
      </c>
      <c r="E86" s="6" t="str">
        <f t="shared" si="3"/>
        <v/>
      </c>
    </row>
    <row r="87" spans="2:5" x14ac:dyDescent="0.25">
      <c r="B87" s="6" t="str">
        <f>IF(A87="","",'Cálculos y conversiones'!$B$14)</f>
        <v/>
      </c>
      <c r="C87" s="6" t="str">
        <f>IF(A87="","",'Cálculos y conversiones'!$B$11*Tabla!E86)</f>
        <v/>
      </c>
      <c r="D87" s="6" t="str">
        <f t="shared" si="2"/>
        <v/>
      </c>
      <c r="E87" s="6" t="str">
        <f t="shared" si="3"/>
        <v/>
      </c>
    </row>
    <row r="88" spans="2:5" x14ac:dyDescent="0.25">
      <c r="B88" s="6" t="str">
        <f>IF(A88="","",'Cálculos y conversiones'!$B$14)</f>
        <v/>
      </c>
      <c r="C88" s="6" t="str">
        <f>IF(A88="","",'Cálculos y conversiones'!$B$11*Tabla!E87)</f>
        <v/>
      </c>
      <c r="D88" s="6" t="str">
        <f t="shared" si="2"/>
        <v/>
      </c>
      <c r="E88" s="6" t="str">
        <f t="shared" si="3"/>
        <v/>
      </c>
    </row>
    <row r="89" spans="2:5" x14ac:dyDescent="0.25">
      <c r="B89" s="6" t="str">
        <f>IF(A89="","",'Cálculos y conversiones'!$B$14)</f>
        <v/>
      </c>
      <c r="C89" s="6" t="str">
        <f>IF(A89="","",'Cálculos y conversiones'!$B$11*Tabla!E88)</f>
        <v/>
      </c>
      <c r="D89" s="6" t="str">
        <f t="shared" si="2"/>
        <v/>
      </c>
      <c r="E89" s="6" t="str">
        <f t="shared" si="3"/>
        <v/>
      </c>
    </row>
    <row r="90" spans="2:5" x14ac:dyDescent="0.25">
      <c r="B90" s="6" t="str">
        <f>IF(A90="","",'Cálculos y conversiones'!$B$14)</f>
        <v/>
      </c>
      <c r="C90" s="6" t="str">
        <f>IF(A90="","",'Cálculos y conversiones'!$B$11*Tabla!E89)</f>
        <v/>
      </c>
      <c r="D90" s="6" t="str">
        <f t="shared" si="2"/>
        <v/>
      </c>
      <c r="E90" s="6" t="str">
        <f t="shared" si="3"/>
        <v/>
      </c>
    </row>
    <row r="91" spans="2:5" x14ac:dyDescent="0.25">
      <c r="B91" s="6" t="str">
        <f>IF(A91="","",'Cálculos y conversiones'!$B$14)</f>
        <v/>
      </c>
      <c r="C91" s="6" t="str">
        <f>IF(A91="","",'Cálculos y conversiones'!$B$11*Tabla!E90)</f>
        <v/>
      </c>
      <c r="D91" s="6" t="str">
        <f t="shared" si="2"/>
        <v/>
      </c>
      <c r="E91" s="6" t="str">
        <f t="shared" si="3"/>
        <v/>
      </c>
    </row>
    <row r="92" spans="2:5" x14ac:dyDescent="0.25">
      <c r="B92" s="6" t="str">
        <f>IF(A92="","",'Cálculos y conversiones'!$B$14)</f>
        <v/>
      </c>
      <c r="C92" s="6" t="str">
        <f>IF(A92="","",'Cálculos y conversiones'!$B$11*Tabla!E91)</f>
        <v/>
      </c>
      <c r="D92" s="6" t="str">
        <f t="shared" si="2"/>
        <v/>
      </c>
      <c r="E92" s="6" t="str">
        <f t="shared" si="3"/>
        <v/>
      </c>
    </row>
    <row r="93" spans="2:5" x14ac:dyDescent="0.25">
      <c r="B93" s="6" t="str">
        <f>IF(A93="","",'Cálculos y conversiones'!$B$14)</f>
        <v/>
      </c>
      <c r="C93" s="6" t="str">
        <f>IF(A93="","",'Cálculos y conversiones'!$B$11*Tabla!E92)</f>
        <v/>
      </c>
      <c r="D93" s="6" t="str">
        <f t="shared" si="2"/>
        <v/>
      </c>
      <c r="E93" s="6" t="str">
        <f t="shared" si="3"/>
        <v/>
      </c>
    </row>
    <row r="94" spans="2:5" x14ac:dyDescent="0.25">
      <c r="B94" s="6" t="str">
        <f>IF(A94="","",'Cálculos y conversiones'!$B$14)</f>
        <v/>
      </c>
      <c r="C94" s="6" t="str">
        <f>IF(A94="","",'Cálculos y conversiones'!$B$11*Tabla!E93)</f>
        <v/>
      </c>
      <c r="D94" s="6" t="str">
        <f t="shared" si="2"/>
        <v/>
      </c>
      <c r="E94" s="6" t="str">
        <f t="shared" si="3"/>
        <v/>
      </c>
    </row>
    <row r="95" spans="2:5" x14ac:dyDescent="0.25">
      <c r="B95" s="6" t="str">
        <f>IF(A95="","",'Cálculos y conversiones'!$B$14)</f>
        <v/>
      </c>
      <c r="C95" s="6" t="str">
        <f>IF(A95="","",'Cálculos y conversiones'!$B$11*Tabla!E94)</f>
        <v/>
      </c>
      <c r="D95" s="6" t="str">
        <f t="shared" si="2"/>
        <v/>
      </c>
      <c r="E95" s="6" t="str">
        <f t="shared" si="3"/>
        <v/>
      </c>
    </row>
    <row r="96" spans="2:5" x14ac:dyDescent="0.25">
      <c r="B96" s="6" t="str">
        <f>IF(A96="","",'Cálculos y conversiones'!$B$14)</f>
        <v/>
      </c>
      <c r="C96" s="6" t="str">
        <f>IF(A96="","",'Cálculos y conversiones'!$B$11*Tabla!E95)</f>
        <v/>
      </c>
      <c r="D96" s="6" t="str">
        <f t="shared" si="2"/>
        <v/>
      </c>
      <c r="E96" s="6" t="str">
        <f t="shared" si="3"/>
        <v/>
      </c>
    </row>
    <row r="97" spans="2:5" x14ac:dyDescent="0.25">
      <c r="B97" s="6" t="str">
        <f>IF(A97="","",'Cálculos y conversiones'!$B$14)</f>
        <v/>
      </c>
      <c r="C97" s="6" t="str">
        <f>IF(A97="","",'Cálculos y conversiones'!$B$11*Tabla!E96)</f>
        <v/>
      </c>
      <c r="D97" s="6" t="str">
        <f t="shared" si="2"/>
        <v/>
      </c>
      <c r="E97" s="6" t="str">
        <f t="shared" si="3"/>
        <v/>
      </c>
    </row>
    <row r="98" spans="2:5" x14ac:dyDescent="0.25">
      <c r="B98" s="6" t="str">
        <f>IF(A98="","",'Cálculos y conversiones'!$B$14)</f>
        <v/>
      </c>
      <c r="C98" s="6" t="str">
        <f>IF(A98="","",'Cálculos y conversiones'!$B$11*Tabla!E97)</f>
        <v/>
      </c>
      <c r="D98" s="6" t="str">
        <f t="shared" si="2"/>
        <v/>
      </c>
      <c r="E98" s="6" t="str">
        <f t="shared" si="3"/>
        <v/>
      </c>
    </row>
    <row r="99" spans="2:5" x14ac:dyDescent="0.25">
      <c r="B99" s="6" t="str">
        <f>IF(A99="","",'Cálculos y conversiones'!$B$14)</f>
        <v/>
      </c>
      <c r="C99" s="6" t="str">
        <f>IF(A99="","",'Cálculos y conversiones'!$B$11*Tabla!E98)</f>
        <v/>
      </c>
      <c r="D99" s="6" t="str">
        <f t="shared" si="2"/>
        <v/>
      </c>
      <c r="E99" s="6" t="str">
        <f t="shared" si="3"/>
        <v/>
      </c>
    </row>
    <row r="100" spans="2:5" x14ac:dyDescent="0.25">
      <c r="B100" s="6" t="str">
        <f>IF(A100="","",'Cálculos y conversiones'!$B$14)</f>
        <v/>
      </c>
      <c r="C100" s="6" t="str">
        <f>IF(A100="","",'Cálculos y conversiones'!$B$11*Tabla!E99)</f>
        <v/>
      </c>
      <c r="D100" s="6" t="str">
        <f t="shared" si="2"/>
        <v/>
      </c>
      <c r="E100" s="6" t="str">
        <f t="shared" si="3"/>
        <v/>
      </c>
    </row>
    <row r="101" spans="2:5" x14ac:dyDescent="0.25">
      <c r="B101" s="6" t="str">
        <f>IF(A101="","",'Cálculos y conversiones'!$B$14)</f>
        <v/>
      </c>
      <c r="C101" s="6" t="str">
        <f>IF(A101="","",'Cálculos y conversiones'!$B$11*Tabla!E100)</f>
        <v/>
      </c>
      <c r="D101" s="6" t="str">
        <f t="shared" si="2"/>
        <v/>
      </c>
      <c r="E101" s="6" t="str">
        <f t="shared" si="3"/>
        <v/>
      </c>
    </row>
    <row r="102" spans="2:5" x14ac:dyDescent="0.25">
      <c r="B102" s="6" t="str">
        <f>IF(A102="","",'Cálculos y conversiones'!$B$14)</f>
        <v/>
      </c>
      <c r="C102" s="6" t="str">
        <f>IF(A102="","",'Cálculos y conversiones'!$B$11*Tabla!E101)</f>
        <v/>
      </c>
      <c r="D102" s="6" t="str">
        <f t="shared" si="2"/>
        <v/>
      </c>
      <c r="E102" s="6" t="str">
        <f t="shared" si="3"/>
        <v/>
      </c>
    </row>
    <row r="103" spans="2:5" x14ac:dyDescent="0.25">
      <c r="B103" s="6" t="str">
        <f>IF(A103="","",'Cálculos y conversiones'!$B$14)</f>
        <v/>
      </c>
      <c r="C103" s="6" t="str">
        <f>IF(A103="","",'Cálculos y conversiones'!$B$11*Tabla!E102)</f>
        <v/>
      </c>
      <c r="D103" s="6" t="str">
        <f t="shared" si="2"/>
        <v/>
      </c>
      <c r="E103" s="6" t="str">
        <f t="shared" si="3"/>
        <v/>
      </c>
    </row>
    <row r="104" spans="2:5" x14ac:dyDescent="0.25">
      <c r="B104" s="6" t="str">
        <f>IF(A104="","",'Cálculos y conversiones'!$B$14)</f>
        <v/>
      </c>
      <c r="C104" s="6" t="str">
        <f>IF(A104="","",'Cálculos y conversiones'!$B$11*Tabla!E103)</f>
        <v/>
      </c>
      <c r="D104" s="6" t="str">
        <f t="shared" si="2"/>
        <v/>
      </c>
      <c r="E104" s="6" t="str">
        <f t="shared" si="3"/>
        <v/>
      </c>
    </row>
    <row r="105" spans="2:5" x14ac:dyDescent="0.25">
      <c r="B105" s="6" t="str">
        <f>IF(A105="","",'Cálculos y conversiones'!$B$14)</f>
        <v/>
      </c>
      <c r="C105" s="6" t="str">
        <f>IF(A105="","",'Cálculos y conversiones'!$B$11*Tabla!E104)</f>
        <v/>
      </c>
      <c r="D105" s="6" t="str">
        <f t="shared" si="2"/>
        <v/>
      </c>
      <c r="E105" s="6" t="str">
        <f t="shared" si="3"/>
        <v/>
      </c>
    </row>
    <row r="106" spans="2:5" x14ac:dyDescent="0.25">
      <c r="B106" s="6" t="str">
        <f>IF(A106="","",'Cálculos y conversiones'!$B$14)</f>
        <v/>
      </c>
      <c r="C106" s="6" t="str">
        <f>IF(A106="","",'Cálculos y conversiones'!$B$11*Tabla!E105)</f>
        <v/>
      </c>
      <c r="D106" s="6" t="str">
        <f t="shared" si="2"/>
        <v/>
      </c>
      <c r="E106" s="6" t="str">
        <f t="shared" si="3"/>
        <v/>
      </c>
    </row>
    <row r="107" spans="2:5" x14ac:dyDescent="0.25">
      <c r="B107" s="6" t="str">
        <f>IF(A107="","",'Cálculos y conversiones'!$B$14)</f>
        <v/>
      </c>
      <c r="C107" s="6" t="str">
        <f>IF(A107="","",'Cálculos y conversiones'!$B$11*Tabla!E106)</f>
        <v/>
      </c>
      <c r="D107" s="6" t="str">
        <f t="shared" si="2"/>
        <v/>
      </c>
      <c r="E107" s="6" t="str">
        <f t="shared" si="3"/>
        <v/>
      </c>
    </row>
    <row r="108" spans="2:5" x14ac:dyDescent="0.25">
      <c r="B108" s="6" t="str">
        <f>IF(A108="","",'Cálculos y conversiones'!$B$14)</f>
        <v/>
      </c>
      <c r="C108" s="6" t="str">
        <f>IF(A108="","",'Cálculos y conversiones'!$B$11*Tabla!E107)</f>
        <v/>
      </c>
      <c r="D108" s="6" t="str">
        <f t="shared" si="2"/>
        <v/>
      </c>
      <c r="E108" s="6" t="str">
        <f t="shared" si="3"/>
        <v/>
      </c>
    </row>
    <row r="109" spans="2:5" x14ac:dyDescent="0.25">
      <c r="B109" s="6" t="str">
        <f>IF(A109="","",'Cálculos y conversiones'!$B$14)</f>
        <v/>
      </c>
      <c r="C109" s="6" t="str">
        <f>IF(A109="","",'Cálculos y conversiones'!$B$11*Tabla!E108)</f>
        <v/>
      </c>
      <c r="D109" s="6" t="str">
        <f t="shared" si="2"/>
        <v/>
      </c>
      <c r="E109" s="6" t="str">
        <f t="shared" si="3"/>
        <v/>
      </c>
    </row>
    <row r="110" spans="2:5" x14ac:dyDescent="0.25">
      <c r="B110" s="6" t="str">
        <f>IF(A110="","",'Cálculos y conversiones'!$B$14)</f>
        <v/>
      </c>
      <c r="C110" s="6" t="str">
        <f>IF(A110="","",'Cálculos y conversiones'!$B$11*Tabla!E109)</f>
        <v/>
      </c>
      <c r="D110" s="6" t="str">
        <f t="shared" si="2"/>
        <v/>
      </c>
      <c r="E110" s="6" t="str">
        <f t="shared" si="3"/>
        <v/>
      </c>
    </row>
    <row r="111" spans="2:5" x14ac:dyDescent="0.25">
      <c r="B111" s="6" t="str">
        <f>IF(A111="","",'Cálculos y conversiones'!$B$14)</f>
        <v/>
      </c>
      <c r="C111" s="6" t="str">
        <f>IF(A111="","",'Cálculos y conversiones'!$B$11*Tabla!E110)</f>
        <v/>
      </c>
      <c r="D111" s="6" t="str">
        <f t="shared" si="2"/>
        <v/>
      </c>
      <c r="E111" s="6" t="str">
        <f t="shared" si="3"/>
        <v/>
      </c>
    </row>
    <row r="112" spans="2:5" x14ac:dyDescent="0.25">
      <c r="B112" s="6" t="str">
        <f>IF(A112="","",'Cálculos y conversiones'!$B$14)</f>
        <v/>
      </c>
      <c r="C112" s="6" t="str">
        <f>IF(A112="","",'Cálculos y conversiones'!$B$11*Tabla!E111)</f>
        <v/>
      </c>
      <c r="D112" s="6" t="str">
        <f t="shared" si="2"/>
        <v/>
      </c>
      <c r="E112" s="6" t="str">
        <f t="shared" si="3"/>
        <v/>
      </c>
    </row>
    <row r="113" spans="2:5" x14ac:dyDescent="0.25">
      <c r="B113" s="6" t="str">
        <f>IF(A113="","",'Cálculos y conversiones'!$B$14)</f>
        <v/>
      </c>
      <c r="C113" s="6" t="str">
        <f>IF(A113="","",'Cálculos y conversiones'!$B$11*Tabla!E112)</f>
        <v/>
      </c>
      <c r="D113" s="6" t="str">
        <f t="shared" si="2"/>
        <v/>
      </c>
      <c r="E113" s="6" t="str">
        <f t="shared" si="3"/>
        <v/>
      </c>
    </row>
    <row r="114" spans="2:5" x14ac:dyDescent="0.25">
      <c r="B114" s="6" t="str">
        <f>IF(A114="","",'Cálculos y conversiones'!$B$14)</f>
        <v/>
      </c>
      <c r="C114" s="6" t="str">
        <f>IF(A114="","",'Cálculos y conversiones'!$B$11*Tabla!E113)</f>
        <v/>
      </c>
      <c r="D114" s="6" t="str">
        <f t="shared" si="2"/>
        <v/>
      </c>
      <c r="E114" s="6" t="str">
        <f t="shared" si="3"/>
        <v/>
      </c>
    </row>
    <row r="115" spans="2:5" x14ac:dyDescent="0.25">
      <c r="B115" s="6" t="str">
        <f>IF(A115="","",'Cálculos y conversiones'!$B$14)</f>
        <v/>
      </c>
      <c r="C115" s="6" t="str">
        <f>IF(A115="","",'Cálculos y conversiones'!$B$11*Tabla!E114)</f>
        <v/>
      </c>
      <c r="D115" s="6" t="str">
        <f t="shared" si="2"/>
        <v/>
      </c>
      <c r="E115" s="6" t="str">
        <f t="shared" si="3"/>
        <v/>
      </c>
    </row>
    <row r="116" spans="2:5" x14ac:dyDescent="0.25">
      <c r="B116" s="6" t="str">
        <f>IF(A116="","",'Cálculos y conversiones'!$B$14)</f>
        <v/>
      </c>
      <c r="C116" s="6" t="str">
        <f>IF(A116="","",'Cálculos y conversiones'!$B$11*Tabla!E115)</f>
        <v/>
      </c>
      <c r="D116" s="6" t="str">
        <f t="shared" si="2"/>
        <v/>
      </c>
      <c r="E116" s="6" t="str">
        <f t="shared" si="3"/>
        <v/>
      </c>
    </row>
    <row r="117" spans="2:5" x14ac:dyDescent="0.25">
      <c r="B117" s="6" t="str">
        <f>IF(A117="","",'Cálculos y conversiones'!$B$14)</f>
        <v/>
      </c>
      <c r="C117" s="6" t="str">
        <f>IF(A117="","",'Cálculos y conversiones'!$B$11*Tabla!E116)</f>
        <v/>
      </c>
      <c r="D117" s="6" t="str">
        <f t="shared" si="2"/>
        <v/>
      </c>
      <c r="E117" s="6" t="str">
        <f t="shared" si="3"/>
        <v/>
      </c>
    </row>
    <row r="118" spans="2:5" x14ac:dyDescent="0.25">
      <c r="B118" s="6" t="str">
        <f>IF(A118="","",'Cálculos y conversiones'!$B$14)</f>
        <v/>
      </c>
      <c r="C118" s="6" t="str">
        <f>IF(A118="","",'Cálculos y conversiones'!$B$11*Tabla!E117)</f>
        <v/>
      </c>
      <c r="D118" s="6" t="str">
        <f t="shared" si="2"/>
        <v/>
      </c>
      <c r="E118" s="6" t="str">
        <f t="shared" si="3"/>
        <v/>
      </c>
    </row>
    <row r="119" spans="2:5" x14ac:dyDescent="0.25">
      <c r="B119" s="6" t="str">
        <f>IF(A119="","",'Cálculos y conversiones'!$B$14)</f>
        <v/>
      </c>
      <c r="C119" s="6" t="str">
        <f>IF(A119="","",'Cálculos y conversiones'!$B$11*Tabla!E118)</f>
        <v/>
      </c>
      <c r="D119" s="6" t="str">
        <f t="shared" si="2"/>
        <v/>
      </c>
      <c r="E119" s="6" t="str">
        <f t="shared" si="3"/>
        <v/>
      </c>
    </row>
    <row r="120" spans="2:5" x14ac:dyDescent="0.25">
      <c r="B120" s="6" t="str">
        <f>IF(A120="","",'Cálculos y conversiones'!$B$14)</f>
        <v/>
      </c>
      <c r="C120" s="6" t="str">
        <f>IF(A120="","",'Cálculos y conversiones'!$B$11*Tabla!E119)</f>
        <v/>
      </c>
      <c r="D120" s="6" t="str">
        <f t="shared" si="2"/>
        <v/>
      </c>
      <c r="E120" s="6" t="str">
        <f t="shared" si="3"/>
        <v/>
      </c>
    </row>
    <row r="121" spans="2:5" x14ac:dyDescent="0.25">
      <c r="B121" s="6" t="str">
        <f>IF(A121="","",'Cálculos y conversiones'!$B$14)</f>
        <v/>
      </c>
      <c r="C121" s="6" t="str">
        <f>IF(A121="","",'Cálculos y conversiones'!$B$11*Tabla!E120)</f>
        <v/>
      </c>
      <c r="D121" s="6" t="str">
        <f t="shared" si="2"/>
        <v/>
      </c>
      <c r="E121" s="6" t="str">
        <f t="shared" si="3"/>
        <v/>
      </c>
    </row>
    <row r="122" spans="2:5" x14ac:dyDescent="0.25">
      <c r="B122" s="6" t="str">
        <f>IF(A122="","",'Cálculos y conversiones'!$B$14)</f>
        <v/>
      </c>
      <c r="C122" s="6" t="str">
        <f>IF(A122="","",'Cálculos y conversiones'!$B$11*Tabla!E121)</f>
        <v/>
      </c>
      <c r="D122" s="6" t="str">
        <f t="shared" si="2"/>
        <v/>
      </c>
      <c r="E122" s="6" t="str">
        <f t="shared" si="3"/>
        <v/>
      </c>
    </row>
    <row r="123" spans="2:5" x14ac:dyDescent="0.25">
      <c r="B123" s="6" t="str">
        <f>IF(A123="","",'Cálculos y conversiones'!$B$14)</f>
        <v/>
      </c>
      <c r="C123" s="6" t="str">
        <f>IF(A123="","",'Cálculos y conversiones'!$B$11*Tabla!E122)</f>
        <v/>
      </c>
      <c r="D123" s="6" t="str">
        <f t="shared" si="2"/>
        <v/>
      </c>
      <c r="E123" s="6" t="str">
        <f t="shared" si="3"/>
        <v/>
      </c>
    </row>
    <row r="124" spans="2:5" x14ac:dyDescent="0.25">
      <c r="B124" s="6" t="str">
        <f>IF(A124="","",'Cálculos y conversiones'!$B$14)</f>
        <v/>
      </c>
      <c r="C124" s="6" t="str">
        <f>IF(A124="","",'Cálculos y conversiones'!$B$11*Tabla!E123)</f>
        <v/>
      </c>
      <c r="D124" s="6" t="str">
        <f t="shared" si="2"/>
        <v/>
      </c>
      <c r="E124" s="6" t="str">
        <f t="shared" si="3"/>
        <v/>
      </c>
    </row>
    <row r="125" spans="2:5" x14ac:dyDescent="0.25">
      <c r="B125" s="6" t="str">
        <f>IF(A125="","",'Cálculos y conversiones'!$B$14)</f>
        <v/>
      </c>
      <c r="C125" s="6" t="str">
        <f>IF(A125="","",'Cálculos y conversiones'!$B$11*Tabla!E124)</f>
        <v/>
      </c>
      <c r="D125" s="6" t="str">
        <f t="shared" si="2"/>
        <v/>
      </c>
      <c r="E125" s="6" t="str">
        <f t="shared" si="3"/>
        <v/>
      </c>
    </row>
    <row r="126" spans="2:5" x14ac:dyDescent="0.25">
      <c r="B126" s="6" t="str">
        <f>IF(A126="","",'Cálculos y conversiones'!$B$14)</f>
        <v/>
      </c>
      <c r="C126" s="6" t="str">
        <f>IF(A126="","",'Cálculos y conversiones'!$B$11*Tabla!E125)</f>
        <v/>
      </c>
      <c r="D126" s="6" t="str">
        <f t="shared" si="2"/>
        <v/>
      </c>
      <c r="E126" s="6" t="str">
        <f t="shared" si="3"/>
        <v/>
      </c>
    </row>
    <row r="127" spans="2:5" x14ac:dyDescent="0.25">
      <c r="B127" s="6" t="str">
        <f>IF(A127="","",'Cálculos y conversiones'!$B$14)</f>
        <v/>
      </c>
      <c r="C127" s="6" t="str">
        <f>IF(A127="","",'Cálculos y conversiones'!$B$11*Tabla!E126)</f>
        <v/>
      </c>
      <c r="D127" s="6" t="str">
        <f t="shared" si="2"/>
        <v/>
      </c>
      <c r="E127" s="6" t="str">
        <f t="shared" si="3"/>
        <v/>
      </c>
    </row>
    <row r="128" spans="2:5" x14ac:dyDescent="0.25">
      <c r="B128" s="6" t="str">
        <f>IF(A128="","",'Cálculos y conversiones'!$B$14)</f>
        <v/>
      </c>
      <c r="C128" s="6" t="str">
        <f>IF(A128="","",'Cálculos y conversiones'!$B$11*Tabla!E127)</f>
        <v/>
      </c>
      <c r="D128" s="6" t="str">
        <f t="shared" si="2"/>
        <v/>
      </c>
      <c r="E128" s="6" t="str">
        <f t="shared" si="3"/>
        <v/>
      </c>
    </row>
    <row r="129" spans="2:5" x14ac:dyDescent="0.25">
      <c r="B129" s="6" t="str">
        <f>IF(A129="","",'Cálculos y conversiones'!$B$14)</f>
        <v/>
      </c>
      <c r="C129" s="6" t="str">
        <f>IF(A129="","",'Cálculos y conversiones'!$B$11*Tabla!E128)</f>
        <v/>
      </c>
      <c r="D129" s="6" t="str">
        <f t="shared" si="2"/>
        <v/>
      </c>
      <c r="E129" s="6" t="str">
        <f t="shared" si="3"/>
        <v/>
      </c>
    </row>
    <row r="130" spans="2:5" x14ac:dyDescent="0.25">
      <c r="B130" s="6" t="str">
        <f>IF(A130="","",'Cálculos y conversiones'!$B$14)</f>
        <v/>
      </c>
      <c r="C130" s="6" t="str">
        <f>IF(A130="","",'Cálculos y conversiones'!$B$11*Tabla!E129)</f>
        <v/>
      </c>
      <c r="D130" s="6" t="str">
        <f t="shared" si="2"/>
        <v/>
      </c>
      <c r="E130" s="6" t="str">
        <f t="shared" si="3"/>
        <v/>
      </c>
    </row>
    <row r="131" spans="2:5" x14ac:dyDescent="0.25">
      <c r="B131" s="6" t="str">
        <f>IF(A131="","",'Cálculos y conversiones'!$B$14)</f>
        <v/>
      </c>
      <c r="C131" s="6" t="str">
        <f>IF(A131="","",'Cálculos y conversiones'!$B$11*Tabla!E130)</f>
        <v/>
      </c>
      <c r="D131" s="6" t="str">
        <f t="shared" si="2"/>
        <v/>
      </c>
      <c r="E131" s="6" t="str">
        <f t="shared" si="3"/>
        <v/>
      </c>
    </row>
    <row r="132" spans="2:5" x14ac:dyDescent="0.25">
      <c r="B132" s="6" t="str">
        <f>IF(A132="","",'Cálculos y conversiones'!$B$14)</f>
        <v/>
      </c>
      <c r="C132" s="6" t="str">
        <f>IF(A132="","",'Cálculos y conversiones'!$B$11*Tabla!E131)</f>
        <v/>
      </c>
      <c r="D132" s="6" t="str">
        <f t="shared" si="2"/>
        <v/>
      </c>
      <c r="E132" s="6" t="str">
        <f t="shared" si="3"/>
        <v/>
      </c>
    </row>
    <row r="133" spans="2:5" x14ac:dyDescent="0.25">
      <c r="B133" s="6" t="str">
        <f>IF(A133="","",'Cálculos y conversiones'!$B$14)</f>
        <v/>
      </c>
      <c r="C133" s="6" t="str">
        <f>IF(A133="","",'Cálculos y conversiones'!$B$11*Tabla!E132)</f>
        <v/>
      </c>
      <c r="D133" s="6" t="str">
        <f t="shared" si="2"/>
        <v/>
      </c>
      <c r="E133" s="6" t="str">
        <f t="shared" si="3"/>
        <v/>
      </c>
    </row>
    <row r="134" spans="2:5" x14ac:dyDescent="0.25">
      <c r="B134" s="6" t="str">
        <f>IF(A134="","",'Cálculos y conversiones'!$B$14)</f>
        <v/>
      </c>
      <c r="C134" s="6" t="str">
        <f>IF(A134="","",'Cálculos y conversiones'!$B$11*Tabla!E133)</f>
        <v/>
      </c>
      <c r="D134" s="6" t="str">
        <f t="shared" si="2"/>
        <v/>
      </c>
      <c r="E134" s="6" t="str">
        <f t="shared" si="3"/>
        <v/>
      </c>
    </row>
    <row r="135" spans="2:5" x14ac:dyDescent="0.25">
      <c r="B135" s="6" t="str">
        <f>IF(A135="","",'Cálculos y conversiones'!$B$14)</f>
        <v/>
      </c>
      <c r="C135" s="6" t="str">
        <f>IF(A135="","",'Cálculos y conversiones'!$B$11*Tabla!E134)</f>
        <v/>
      </c>
      <c r="D135" s="6" t="str">
        <f t="shared" si="2"/>
        <v/>
      </c>
      <c r="E135" s="6" t="str">
        <f t="shared" si="3"/>
        <v/>
      </c>
    </row>
    <row r="136" spans="2:5" x14ac:dyDescent="0.25">
      <c r="B136" s="6" t="str">
        <f>IF(A136="","",'Cálculos y conversiones'!$B$14)</f>
        <v/>
      </c>
      <c r="C136" s="6" t="str">
        <f>IF(A136="","",'Cálculos y conversiones'!$B$11*Tabla!E135)</f>
        <v/>
      </c>
      <c r="D136" s="6" t="str">
        <f t="shared" si="2"/>
        <v/>
      </c>
      <c r="E136" s="6" t="str">
        <f t="shared" si="3"/>
        <v/>
      </c>
    </row>
    <row r="137" spans="2:5" x14ac:dyDescent="0.25">
      <c r="B137" s="6" t="str">
        <f>IF(A137="","",'Cálculos y conversiones'!$B$14)</f>
        <v/>
      </c>
      <c r="C137" s="6" t="str">
        <f>IF(A137="","",'Cálculos y conversiones'!$B$11*Tabla!E136)</f>
        <v/>
      </c>
      <c r="D137" s="6" t="str">
        <f t="shared" si="2"/>
        <v/>
      </c>
      <c r="E137" s="6" t="str">
        <f t="shared" si="3"/>
        <v/>
      </c>
    </row>
    <row r="138" spans="2:5" x14ac:dyDescent="0.25">
      <c r="B138" s="6" t="str">
        <f>IF(A138="","",'Cálculos y conversiones'!$B$14)</f>
        <v/>
      </c>
      <c r="C138" s="6" t="str">
        <f>IF(A138="","",'Cálculos y conversiones'!$B$11*Tabla!E137)</f>
        <v/>
      </c>
      <c r="D138" s="6" t="str">
        <f t="shared" ref="D138:D201" si="4">IF(A138="","",B138-C138)</f>
        <v/>
      </c>
      <c r="E138" s="6" t="str">
        <f t="shared" ref="E138:E201" si="5">IF(A138="","",E137-D138)</f>
        <v/>
      </c>
    </row>
    <row r="139" spans="2:5" x14ac:dyDescent="0.25">
      <c r="B139" s="6" t="str">
        <f>IF(A139="","",'Cálculos y conversiones'!$B$14)</f>
        <v/>
      </c>
      <c r="C139" s="6" t="str">
        <f>IF(A139="","",'Cálculos y conversiones'!$B$11*Tabla!E138)</f>
        <v/>
      </c>
      <c r="D139" s="6" t="str">
        <f t="shared" si="4"/>
        <v/>
      </c>
      <c r="E139" s="6" t="str">
        <f t="shared" si="5"/>
        <v/>
      </c>
    </row>
    <row r="140" spans="2:5" x14ac:dyDescent="0.25">
      <c r="B140" s="6" t="str">
        <f>IF(A140="","",'Cálculos y conversiones'!$B$14)</f>
        <v/>
      </c>
      <c r="C140" s="6" t="str">
        <f>IF(A140="","",'Cálculos y conversiones'!$B$11*Tabla!E139)</f>
        <v/>
      </c>
      <c r="D140" s="6" t="str">
        <f t="shared" si="4"/>
        <v/>
      </c>
      <c r="E140" s="6" t="str">
        <f t="shared" si="5"/>
        <v/>
      </c>
    </row>
    <row r="141" spans="2:5" x14ac:dyDescent="0.25">
      <c r="B141" s="6" t="str">
        <f>IF(A141="","",'Cálculos y conversiones'!$B$14)</f>
        <v/>
      </c>
      <c r="C141" s="6" t="str">
        <f>IF(A141="","",'Cálculos y conversiones'!$B$11*Tabla!E140)</f>
        <v/>
      </c>
      <c r="D141" s="6" t="str">
        <f t="shared" si="4"/>
        <v/>
      </c>
      <c r="E141" s="6" t="str">
        <f t="shared" si="5"/>
        <v/>
      </c>
    </row>
    <row r="142" spans="2:5" x14ac:dyDescent="0.25">
      <c r="B142" s="6" t="str">
        <f>IF(A142="","",'Cálculos y conversiones'!$B$14)</f>
        <v/>
      </c>
      <c r="C142" s="6" t="str">
        <f>IF(A142="","",'Cálculos y conversiones'!$B$11*Tabla!E141)</f>
        <v/>
      </c>
      <c r="D142" s="6" t="str">
        <f t="shared" si="4"/>
        <v/>
      </c>
      <c r="E142" s="6" t="str">
        <f t="shared" si="5"/>
        <v/>
      </c>
    </row>
    <row r="143" spans="2:5" x14ac:dyDescent="0.25">
      <c r="B143" s="6" t="str">
        <f>IF(A143="","",'Cálculos y conversiones'!$B$14)</f>
        <v/>
      </c>
      <c r="C143" s="6" t="str">
        <f>IF(A143="","",'Cálculos y conversiones'!$B$11*Tabla!E142)</f>
        <v/>
      </c>
      <c r="D143" s="6" t="str">
        <f t="shared" si="4"/>
        <v/>
      </c>
      <c r="E143" s="6" t="str">
        <f t="shared" si="5"/>
        <v/>
      </c>
    </row>
    <row r="144" spans="2:5" x14ac:dyDescent="0.25">
      <c r="B144" s="6" t="str">
        <f>IF(A144="","",'Cálculos y conversiones'!$B$14)</f>
        <v/>
      </c>
      <c r="C144" s="6" t="str">
        <f>IF(A144="","",'Cálculos y conversiones'!$B$11*Tabla!E143)</f>
        <v/>
      </c>
      <c r="D144" s="6" t="str">
        <f t="shared" si="4"/>
        <v/>
      </c>
      <c r="E144" s="6" t="str">
        <f t="shared" si="5"/>
        <v/>
      </c>
    </row>
    <row r="145" spans="2:5" x14ac:dyDescent="0.25">
      <c r="B145" s="6" t="str">
        <f>IF(A145="","",'Cálculos y conversiones'!$B$14)</f>
        <v/>
      </c>
      <c r="C145" s="6" t="str">
        <f>IF(A145="","",'Cálculos y conversiones'!$B$11*Tabla!E144)</f>
        <v/>
      </c>
      <c r="D145" s="6" t="str">
        <f t="shared" si="4"/>
        <v/>
      </c>
      <c r="E145" s="6" t="str">
        <f t="shared" si="5"/>
        <v/>
      </c>
    </row>
    <row r="146" spans="2:5" x14ac:dyDescent="0.25">
      <c r="B146" s="6" t="str">
        <f>IF(A146="","",'Cálculos y conversiones'!$B$14)</f>
        <v/>
      </c>
      <c r="C146" s="6" t="str">
        <f>IF(A146="","",'Cálculos y conversiones'!$B$11*Tabla!E145)</f>
        <v/>
      </c>
      <c r="D146" s="6" t="str">
        <f t="shared" si="4"/>
        <v/>
      </c>
      <c r="E146" s="6" t="str">
        <f t="shared" si="5"/>
        <v/>
      </c>
    </row>
    <row r="147" spans="2:5" x14ac:dyDescent="0.25">
      <c r="B147" s="6" t="str">
        <f>IF(A147="","",'Cálculos y conversiones'!$B$14)</f>
        <v/>
      </c>
      <c r="C147" s="6" t="str">
        <f>IF(A147="","",'Cálculos y conversiones'!$B$11*Tabla!E146)</f>
        <v/>
      </c>
      <c r="D147" s="6" t="str">
        <f t="shared" si="4"/>
        <v/>
      </c>
      <c r="E147" s="6" t="str">
        <f t="shared" si="5"/>
        <v/>
      </c>
    </row>
    <row r="148" spans="2:5" x14ac:dyDescent="0.25">
      <c r="B148" s="6" t="str">
        <f>IF(A148="","",'Cálculos y conversiones'!$B$14)</f>
        <v/>
      </c>
      <c r="C148" s="6" t="str">
        <f>IF(A148="","",'Cálculos y conversiones'!$B$11*Tabla!E147)</f>
        <v/>
      </c>
      <c r="D148" s="6" t="str">
        <f t="shared" si="4"/>
        <v/>
      </c>
      <c r="E148" s="6" t="str">
        <f t="shared" si="5"/>
        <v/>
      </c>
    </row>
    <row r="149" spans="2:5" x14ac:dyDescent="0.25">
      <c r="B149" s="6" t="str">
        <f>IF(A149="","",'Cálculos y conversiones'!$B$14)</f>
        <v/>
      </c>
      <c r="C149" s="6" t="str">
        <f>IF(A149="","",'Cálculos y conversiones'!$B$11*Tabla!E148)</f>
        <v/>
      </c>
      <c r="D149" s="6" t="str">
        <f t="shared" si="4"/>
        <v/>
      </c>
      <c r="E149" s="6" t="str">
        <f t="shared" si="5"/>
        <v/>
      </c>
    </row>
    <row r="150" spans="2:5" x14ac:dyDescent="0.25">
      <c r="B150" s="6" t="str">
        <f>IF(A150="","",'Cálculos y conversiones'!$B$14)</f>
        <v/>
      </c>
      <c r="C150" s="6" t="str">
        <f>IF(A150="","",'Cálculos y conversiones'!$B$11*Tabla!E149)</f>
        <v/>
      </c>
      <c r="D150" s="6" t="str">
        <f t="shared" si="4"/>
        <v/>
      </c>
      <c r="E150" s="6" t="str">
        <f t="shared" si="5"/>
        <v/>
      </c>
    </row>
    <row r="151" spans="2:5" x14ac:dyDescent="0.25">
      <c r="B151" s="6" t="str">
        <f>IF(A151="","",'Cálculos y conversiones'!$B$14)</f>
        <v/>
      </c>
      <c r="C151" s="6" t="str">
        <f>IF(A151="","",'Cálculos y conversiones'!$B$11*Tabla!E150)</f>
        <v/>
      </c>
      <c r="D151" s="6" t="str">
        <f t="shared" si="4"/>
        <v/>
      </c>
      <c r="E151" s="6" t="str">
        <f t="shared" si="5"/>
        <v/>
      </c>
    </row>
    <row r="152" spans="2:5" x14ac:dyDescent="0.25">
      <c r="B152" s="6" t="str">
        <f>IF(A152="","",'Cálculos y conversiones'!$B$14)</f>
        <v/>
      </c>
      <c r="C152" s="6" t="str">
        <f>IF(A152="","",'Cálculos y conversiones'!$B$11*Tabla!E151)</f>
        <v/>
      </c>
      <c r="D152" s="6" t="str">
        <f t="shared" si="4"/>
        <v/>
      </c>
      <c r="E152" s="6" t="str">
        <f t="shared" si="5"/>
        <v/>
      </c>
    </row>
    <row r="153" spans="2:5" x14ac:dyDescent="0.25">
      <c r="B153" s="6" t="str">
        <f>IF(A153="","",'Cálculos y conversiones'!$B$14)</f>
        <v/>
      </c>
      <c r="C153" s="6" t="str">
        <f>IF(A153="","",'Cálculos y conversiones'!$B$11*Tabla!E152)</f>
        <v/>
      </c>
      <c r="D153" s="6" t="str">
        <f t="shared" si="4"/>
        <v/>
      </c>
      <c r="E153" s="6" t="str">
        <f t="shared" si="5"/>
        <v/>
      </c>
    </row>
    <row r="154" spans="2:5" x14ac:dyDescent="0.25">
      <c r="B154" s="6" t="str">
        <f>IF(A154="","",'Cálculos y conversiones'!$B$14)</f>
        <v/>
      </c>
      <c r="C154" s="6" t="str">
        <f>IF(A154="","",'Cálculos y conversiones'!$B$11*Tabla!E153)</f>
        <v/>
      </c>
      <c r="D154" s="6" t="str">
        <f t="shared" si="4"/>
        <v/>
      </c>
      <c r="E154" s="6" t="str">
        <f t="shared" si="5"/>
        <v/>
      </c>
    </row>
    <row r="155" spans="2:5" x14ac:dyDescent="0.25">
      <c r="B155" s="6" t="str">
        <f>IF(A155="","",'Cálculos y conversiones'!$B$14)</f>
        <v/>
      </c>
      <c r="C155" s="6" t="str">
        <f>IF(A155="","",'Cálculos y conversiones'!$B$11*Tabla!E154)</f>
        <v/>
      </c>
      <c r="D155" s="6" t="str">
        <f t="shared" si="4"/>
        <v/>
      </c>
      <c r="E155" s="6" t="str">
        <f t="shared" si="5"/>
        <v/>
      </c>
    </row>
    <row r="156" spans="2:5" x14ac:dyDescent="0.25">
      <c r="B156" s="6" t="str">
        <f>IF(A156="","",'Cálculos y conversiones'!$B$14)</f>
        <v/>
      </c>
      <c r="C156" s="6" t="str">
        <f>IF(A156="","",'Cálculos y conversiones'!$B$11*Tabla!E155)</f>
        <v/>
      </c>
      <c r="D156" s="6" t="str">
        <f t="shared" si="4"/>
        <v/>
      </c>
      <c r="E156" s="6" t="str">
        <f t="shared" si="5"/>
        <v/>
      </c>
    </row>
    <row r="157" spans="2:5" x14ac:dyDescent="0.25">
      <c r="B157" s="6" t="str">
        <f>IF(A157="","",'Cálculos y conversiones'!$B$14)</f>
        <v/>
      </c>
      <c r="C157" s="6" t="str">
        <f>IF(A157="","",'Cálculos y conversiones'!$B$11*Tabla!E156)</f>
        <v/>
      </c>
      <c r="D157" s="6" t="str">
        <f t="shared" si="4"/>
        <v/>
      </c>
      <c r="E157" s="6" t="str">
        <f t="shared" si="5"/>
        <v/>
      </c>
    </row>
    <row r="158" spans="2:5" x14ac:dyDescent="0.25">
      <c r="B158" s="6" t="str">
        <f>IF(A158="","",'Cálculos y conversiones'!$B$14)</f>
        <v/>
      </c>
      <c r="C158" s="6" t="str">
        <f>IF(A158="","",'Cálculos y conversiones'!$B$11*Tabla!E157)</f>
        <v/>
      </c>
      <c r="D158" s="6" t="str">
        <f t="shared" si="4"/>
        <v/>
      </c>
      <c r="E158" s="6" t="str">
        <f t="shared" si="5"/>
        <v/>
      </c>
    </row>
    <row r="159" spans="2:5" x14ac:dyDescent="0.25">
      <c r="B159" s="6" t="str">
        <f>IF(A159="","",'Cálculos y conversiones'!$B$14)</f>
        <v/>
      </c>
      <c r="C159" s="6" t="str">
        <f>IF(A159="","",'Cálculos y conversiones'!$B$11*Tabla!E158)</f>
        <v/>
      </c>
      <c r="D159" s="6" t="str">
        <f t="shared" si="4"/>
        <v/>
      </c>
      <c r="E159" s="6" t="str">
        <f t="shared" si="5"/>
        <v/>
      </c>
    </row>
    <row r="160" spans="2:5" x14ac:dyDescent="0.25">
      <c r="B160" s="6" t="str">
        <f>IF(A160="","",'Cálculos y conversiones'!$B$14)</f>
        <v/>
      </c>
      <c r="C160" s="6" t="str">
        <f>IF(A160="","",'Cálculos y conversiones'!$B$11*Tabla!E159)</f>
        <v/>
      </c>
      <c r="D160" s="6" t="str">
        <f t="shared" si="4"/>
        <v/>
      </c>
      <c r="E160" s="6" t="str">
        <f t="shared" si="5"/>
        <v/>
      </c>
    </row>
    <row r="161" spans="2:5" x14ac:dyDescent="0.25">
      <c r="B161" s="6" t="str">
        <f>IF(A161="","",'Cálculos y conversiones'!$B$14)</f>
        <v/>
      </c>
      <c r="C161" s="6" t="str">
        <f>IF(A161="","",'Cálculos y conversiones'!$B$11*Tabla!E160)</f>
        <v/>
      </c>
      <c r="D161" s="6" t="str">
        <f t="shared" si="4"/>
        <v/>
      </c>
      <c r="E161" s="6" t="str">
        <f t="shared" si="5"/>
        <v/>
      </c>
    </row>
    <row r="162" spans="2:5" x14ac:dyDescent="0.25">
      <c r="B162" s="6" t="str">
        <f>IF(A162="","",'Cálculos y conversiones'!$B$14)</f>
        <v/>
      </c>
      <c r="C162" s="6" t="str">
        <f>IF(A162="","",'Cálculos y conversiones'!$B$11*Tabla!E161)</f>
        <v/>
      </c>
      <c r="D162" s="6" t="str">
        <f t="shared" si="4"/>
        <v/>
      </c>
      <c r="E162" s="6" t="str">
        <f t="shared" si="5"/>
        <v/>
      </c>
    </row>
    <row r="163" spans="2:5" x14ac:dyDescent="0.25">
      <c r="B163" s="6" t="str">
        <f>IF(A163="","",'Cálculos y conversiones'!$B$14)</f>
        <v/>
      </c>
      <c r="C163" s="6" t="str">
        <f>IF(A163="","",'Cálculos y conversiones'!$B$11*Tabla!E162)</f>
        <v/>
      </c>
      <c r="D163" s="6" t="str">
        <f t="shared" si="4"/>
        <v/>
      </c>
      <c r="E163" s="6" t="str">
        <f t="shared" si="5"/>
        <v/>
      </c>
    </row>
    <row r="164" spans="2:5" x14ac:dyDescent="0.25">
      <c r="B164" s="6" t="str">
        <f>IF(A164="","",'Cálculos y conversiones'!$B$14)</f>
        <v/>
      </c>
      <c r="C164" s="6" t="str">
        <f>IF(A164="","",'Cálculos y conversiones'!$B$11*Tabla!E163)</f>
        <v/>
      </c>
      <c r="D164" s="6" t="str">
        <f t="shared" si="4"/>
        <v/>
      </c>
      <c r="E164" s="6" t="str">
        <f t="shared" si="5"/>
        <v/>
      </c>
    </row>
    <row r="165" spans="2:5" x14ac:dyDescent="0.25">
      <c r="B165" s="6" t="str">
        <f>IF(A165="","",'Cálculos y conversiones'!$B$14)</f>
        <v/>
      </c>
      <c r="C165" s="6" t="str">
        <f>IF(A165="","",'Cálculos y conversiones'!$B$11*Tabla!E164)</f>
        <v/>
      </c>
      <c r="D165" s="6" t="str">
        <f t="shared" si="4"/>
        <v/>
      </c>
      <c r="E165" s="6" t="str">
        <f t="shared" si="5"/>
        <v/>
      </c>
    </row>
    <row r="166" spans="2:5" x14ac:dyDescent="0.25">
      <c r="B166" s="6" t="str">
        <f>IF(A166="","",'Cálculos y conversiones'!$B$14)</f>
        <v/>
      </c>
      <c r="C166" s="6" t="str">
        <f>IF(A166="","",'Cálculos y conversiones'!$B$11*Tabla!E165)</f>
        <v/>
      </c>
      <c r="D166" s="6" t="str">
        <f t="shared" si="4"/>
        <v/>
      </c>
      <c r="E166" s="6" t="str">
        <f t="shared" si="5"/>
        <v/>
      </c>
    </row>
    <row r="167" spans="2:5" x14ac:dyDescent="0.25">
      <c r="B167" s="6" t="str">
        <f>IF(A167="","",'Cálculos y conversiones'!$B$14)</f>
        <v/>
      </c>
      <c r="C167" s="6" t="str">
        <f>IF(A167="","",'Cálculos y conversiones'!$B$11*Tabla!E166)</f>
        <v/>
      </c>
      <c r="D167" s="6" t="str">
        <f t="shared" si="4"/>
        <v/>
      </c>
      <c r="E167" s="6" t="str">
        <f t="shared" si="5"/>
        <v/>
      </c>
    </row>
    <row r="168" spans="2:5" x14ac:dyDescent="0.25">
      <c r="B168" s="6" t="str">
        <f>IF(A168="","",'Cálculos y conversiones'!$B$14)</f>
        <v/>
      </c>
      <c r="C168" s="6" t="str">
        <f>IF(A168="","",'Cálculos y conversiones'!$B$11*Tabla!E167)</f>
        <v/>
      </c>
      <c r="D168" s="6" t="str">
        <f t="shared" si="4"/>
        <v/>
      </c>
      <c r="E168" s="6" t="str">
        <f t="shared" si="5"/>
        <v/>
      </c>
    </row>
    <row r="169" spans="2:5" x14ac:dyDescent="0.25">
      <c r="B169" s="6" t="str">
        <f>IF(A169="","",'Cálculos y conversiones'!$B$14)</f>
        <v/>
      </c>
      <c r="C169" s="6" t="str">
        <f>IF(A169="","",'Cálculos y conversiones'!$B$11*Tabla!E168)</f>
        <v/>
      </c>
      <c r="D169" s="6" t="str">
        <f t="shared" si="4"/>
        <v/>
      </c>
      <c r="E169" s="6" t="str">
        <f t="shared" si="5"/>
        <v/>
      </c>
    </row>
    <row r="170" spans="2:5" x14ac:dyDescent="0.25">
      <c r="B170" s="6" t="str">
        <f>IF(A170="","",'Cálculos y conversiones'!$B$14)</f>
        <v/>
      </c>
      <c r="C170" s="6" t="str">
        <f>IF(A170="","",'Cálculos y conversiones'!$B$11*Tabla!E169)</f>
        <v/>
      </c>
      <c r="D170" s="6" t="str">
        <f t="shared" si="4"/>
        <v/>
      </c>
      <c r="E170" s="6" t="str">
        <f t="shared" si="5"/>
        <v/>
      </c>
    </row>
    <row r="171" spans="2:5" x14ac:dyDescent="0.25">
      <c r="B171" s="6" t="str">
        <f>IF(A171="","",'Cálculos y conversiones'!$B$14)</f>
        <v/>
      </c>
      <c r="C171" s="6" t="str">
        <f>IF(A171="","",'Cálculos y conversiones'!$B$11*Tabla!E170)</f>
        <v/>
      </c>
      <c r="D171" s="6" t="str">
        <f t="shared" si="4"/>
        <v/>
      </c>
      <c r="E171" s="6" t="str">
        <f t="shared" si="5"/>
        <v/>
      </c>
    </row>
    <row r="172" spans="2:5" x14ac:dyDescent="0.25">
      <c r="B172" s="6" t="str">
        <f>IF(A172="","",'Cálculos y conversiones'!$B$14)</f>
        <v/>
      </c>
      <c r="C172" s="6" t="str">
        <f>IF(A172="","",'Cálculos y conversiones'!$B$11*Tabla!E171)</f>
        <v/>
      </c>
      <c r="D172" s="6" t="str">
        <f t="shared" si="4"/>
        <v/>
      </c>
      <c r="E172" s="6" t="str">
        <f t="shared" si="5"/>
        <v/>
      </c>
    </row>
    <row r="173" spans="2:5" x14ac:dyDescent="0.25">
      <c r="B173" s="6" t="str">
        <f>IF(A173="","",'Cálculos y conversiones'!$B$14)</f>
        <v/>
      </c>
      <c r="C173" s="6" t="str">
        <f>IF(A173="","",'Cálculos y conversiones'!$B$11*Tabla!E172)</f>
        <v/>
      </c>
      <c r="D173" s="6" t="str">
        <f t="shared" si="4"/>
        <v/>
      </c>
      <c r="E173" s="6" t="str">
        <f t="shared" si="5"/>
        <v/>
      </c>
    </row>
    <row r="174" spans="2:5" x14ac:dyDescent="0.25">
      <c r="B174" s="6" t="str">
        <f>IF(A174="","",'Cálculos y conversiones'!$B$14)</f>
        <v/>
      </c>
      <c r="C174" s="6" t="str">
        <f>IF(A174="","",'Cálculos y conversiones'!$B$11*Tabla!E173)</f>
        <v/>
      </c>
      <c r="D174" s="6" t="str">
        <f t="shared" si="4"/>
        <v/>
      </c>
      <c r="E174" s="6" t="str">
        <f t="shared" si="5"/>
        <v/>
      </c>
    </row>
    <row r="175" spans="2:5" x14ac:dyDescent="0.25">
      <c r="B175" s="6" t="str">
        <f>IF(A175="","",'Cálculos y conversiones'!$B$14)</f>
        <v/>
      </c>
      <c r="C175" s="6" t="str">
        <f>IF(A175="","",'Cálculos y conversiones'!$B$11*Tabla!E174)</f>
        <v/>
      </c>
      <c r="D175" s="6" t="str">
        <f t="shared" si="4"/>
        <v/>
      </c>
      <c r="E175" s="6" t="str">
        <f t="shared" si="5"/>
        <v/>
      </c>
    </row>
    <row r="176" spans="2:5" x14ac:dyDescent="0.25">
      <c r="B176" s="6" t="str">
        <f>IF(A176="","",'Cálculos y conversiones'!$B$14)</f>
        <v/>
      </c>
      <c r="C176" s="6" t="str">
        <f>IF(A176="","",'Cálculos y conversiones'!$B$11*Tabla!E175)</f>
        <v/>
      </c>
      <c r="D176" s="6" t="str">
        <f t="shared" si="4"/>
        <v/>
      </c>
      <c r="E176" s="6" t="str">
        <f t="shared" si="5"/>
        <v/>
      </c>
    </row>
    <row r="177" spans="2:5" x14ac:dyDescent="0.25">
      <c r="B177" s="6" t="str">
        <f>IF(A177="","",'Cálculos y conversiones'!$B$14)</f>
        <v/>
      </c>
      <c r="C177" s="6" t="str">
        <f>IF(A177="","",'Cálculos y conversiones'!$B$11*Tabla!E176)</f>
        <v/>
      </c>
      <c r="D177" s="6" t="str">
        <f t="shared" si="4"/>
        <v/>
      </c>
      <c r="E177" s="6" t="str">
        <f t="shared" si="5"/>
        <v/>
      </c>
    </row>
    <row r="178" spans="2:5" x14ac:dyDescent="0.25">
      <c r="B178" s="6" t="str">
        <f>IF(A178="","",'Cálculos y conversiones'!$B$14)</f>
        <v/>
      </c>
      <c r="C178" s="6" t="str">
        <f>IF(A178="","",'Cálculos y conversiones'!$B$11*Tabla!E177)</f>
        <v/>
      </c>
      <c r="D178" s="6" t="str">
        <f t="shared" si="4"/>
        <v/>
      </c>
      <c r="E178" s="6" t="str">
        <f t="shared" si="5"/>
        <v/>
      </c>
    </row>
    <row r="179" spans="2:5" x14ac:dyDescent="0.25">
      <c r="B179" s="6" t="str">
        <f>IF(A179="","",'Cálculos y conversiones'!$B$14)</f>
        <v/>
      </c>
      <c r="C179" s="6" t="str">
        <f>IF(A179="","",'Cálculos y conversiones'!$B$11*Tabla!E178)</f>
        <v/>
      </c>
      <c r="D179" s="6" t="str">
        <f t="shared" si="4"/>
        <v/>
      </c>
      <c r="E179" s="6" t="str">
        <f t="shared" si="5"/>
        <v/>
      </c>
    </row>
    <row r="180" spans="2:5" x14ac:dyDescent="0.25">
      <c r="B180" s="6" t="str">
        <f>IF(A180="","",'Cálculos y conversiones'!$B$14)</f>
        <v/>
      </c>
      <c r="C180" s="6" t="str">
        <f>IF(A180="","",'Cálculos y conversiones'!$B$11*Tabla!E179)</f>
        <v/>
      </c>
      <c r="D180" s="6" t="str">
        <f t="shared" si="4"/>
        <v/>
      </c>
      <c r="E180" s="6" t="str">
        <f t="shared" si="5"/>
        <v/>
      </c>
    </row>
    <row r="181" spans="2:5" x14ac:dyDescent="0.25">
      <c r="B181" s="6" t="str">
        <f>IF(A181="","",'Cálculos y conversiones'!$B$14)</f>
        <v/>
      </c>
      <c r="C181" s="6" t="str">
        <f>IF(A181="","",'Cálculos y conversiones'!$B$11*Tabla!E180)</f>
        <v/>
      </c>
      <c r="D181" s="6" t="str">
        <f t="shared" si="4"/>
        <v/>
      </c>
      <c r="E181" s="6" t="str">
        <f t="shared" si="5"/>
        <v/>
      </c>
    </row>
    <row r="182" spans="2:5" x14ac:dyDescent="0.25">
      <c r="B182" s="6" t="str">
        <f>IF(A182="","",'Cálculos y conversiones'!$B$14)</f>
        <v/>
      </c>
      <c r="C182" s="6" t="str">
        <f>IF(A182="","",'Cálculos y conversiones'!$B$11*Tabla!E181)</f>
        <v/>
      </c>
      <c r="D182" s="6" t="str">
        <f t="shared" si="4"/>
        <v/>
      </c>
      <c r="E182" s="6" t="str">
        <f t="shared" si="5"/>
        <v/>
      </c>
    </row>
    <row r="183" spans="2:5" x14ac:dyDescent="0.25">
      <c r="B183" s="6" t="str">
        <f>IF(A183="","",'Cálculos y conversiones'!$B$14)</f>
        <v/>
      </c>
      <c r="C183" s="6" t="str">
        <f>IF(A183="","",'Cálculos y conversiones'!$B$11*Tabla!E182)</f>
        <v/>
      </c>
      <c r="D183" s="6" t="str">
        <f t="shared" si="4"/>
        <v/>
      </c>
      <c r="E183" s="6" t="str">
        <f t="shared" si="5"/>
        <v/>
      </c>
    </row>
    <row r="184" spans="2:5" x14ac:dyDescent="0.25">
      <c r="B184" s="6" t="str">
        <f>IF(A184="","",'Cálculos y conversiones'!$B$14)</f>
        <v/>
      </c>
      <c r="C184" s="6" t="str">
        <f>IF(A184="","",'Cálculos y conversiones'!$B$11*Tabla!E183)</f>
        <v/>
      </c>
      <c r="D184" s="6" t="str">
        <f t="shared" si="4"/>
        <v/>
      </c>
      <c r="E184" s="6" t="str">
        <f t="shared" si="5"/>
        <v/>
      </c>
    </row>
    <row r="185" spans="2:5" x14ac:dyDescent="0.25">
      <c r="B185" s="6" t="str">
        <f>IF(A185="","",'Cálculos y conversiones'!$B$14)</f>
        <v/>
      </c>
      <c r="C185" s="6" t="str">
        <f>IF(A185="","",'Cálculos y conversiones'!$B$11*Tabla!E184)</f>
        <v/>
      </c>
      <c r="D185" s="6" t="str">
        <f t="shared" si="4"/>
        <v/>
      </c>
      <c r="E185" s="6" t="str">
        <f t="shared" si="5"/>
        <v/>
      </c>
    </row>
    <row r="186" spans="2:5" x14ac:dyDescent="0.25">
      <c r="B186" s="6" t="str">
        <f>IF(A186="","",'Cálculos y conversiones'!$B$14)</f>
        <v/>
      </c>
      <c r="C186" s="6" t="str">
        <f>IF(A186="","",'Cálculos y conversiones'!$B$11*Tabla!E185)</f>
        <v/>
      </c>
      <c r="D186" s="6" t="str">
        <f t="shared" si="4"/>
        <v/>
      </c>
      <c r="E186" s="6" t="str">
        <f t="shared" si="5"/>
        <v/>
      </c>
    </row>
    <row r="187" spans="2:5" x14ac:dyDescent="0.25">
      <c r="B187" s="6" t="str">
        <f>IF(A187="","",'Cálculos y conversiones'!$B$14)</f>
        <v/>
      </c>
      <c r="C187" s="6" t="str">
        <f>IF(A187="","",'Cálculos y conversiones'!$B$11*Tabla!E186)</f>
        <v/>
      </c>
      <c r="D187" s="6" t="str">
        <f t="shared" si="4"/>
        <v/>
      </c>
      <c r="E187" s="6" t="str">
        <f t="shared" si="5"/>
        <v/>
      </c>
    </row>
    <row r="188" spans="2:5" x14ac:dyDescent="0.25">
      <c r="B188" s="6" t="str">
        <f>IF(A188="","",'Cálculos y conversiones'!$B$14)</f>
        <v/>
      </c>
      <c r="C188" s="6" t="str">
        <f>IF(A188="","",'Cálculos y conversiones'!$B$11*Tabla!E187)</f>
        <v/>
      </c>
      <c r="D188" s="6" t="str">
        <f t="shared" si="4"/>
        <v/>
      </c>
      <c r="E188" s="6" t="str">
        <f t="shared" si="5"/>
        <v/>
      </c>
    </row>
    <row r="189" spans="2:5" x14ac:dyDescent="0.25">
      <c r="B189" s="6" t="str">
        <f>IF(A189="","",'Cálculos y conversiones'!$B$14)</f>
        <v/>
      </c>
      <c r="C189" s="6" t="str">
        <f>IF(A189="","",'Cálculos y conversiones'!$B$11*Tabla!E188)</f>
        <v/>
      </c>
      <c r="D189" s="6" t="str">
        <f t="shared" si="4"/>
        <v/>
      </c>
      <c r="E189" s="6" t="str">
        <f t="shared" si="5"/>
        <v/>
      </c>
    </row>
    <row r="190" spans="2:5" x14ac:dyDescent="0.25">
      <c r="B190" s="6" t="str">
        <f>IF(A190="","",'Cálculos y conversiones'!$B$14)</f>
        <v/>
      </c>
      <c r="C190" s="6" t="str">
        <f>IF(A190="","",'Cálculos y conversiones'!$B$11*Tabla!E189)</f>
        <v/>
      </c>
      <c r="D190" s="6" t="str">
        <f t="shared" si="4"/>
        <v/>
      </c>
      <c r="E190" s="6" t="str">
        <f t="shared" si="5"/>
        <v/>
      </c>
    </row>
    <row r="191" spans="2:5" x14ac:dyDescent="0.25">
      <c r="B191" s="6" t="str">
        <f>IF(A191="","",'Cálculos y conversiones'!$B$14)</f>
        <v/>
      </c>
      <c r="C191" s="6" t="str">
        <f>IF(A191="","",'Cálculos y conversiones'!$B$11*Tabla!E190)</f>
        <v/>
      </c>
      <c r="D191" s="6" t="str">
        <f t="shared" si="4"/>
        <v/>
      </c>
      <c r="E191" s="6" t="str">
        <f t="shared" si="5"/>
        <v/>
      </c>
    </row>
    <row r="192" spans="2:5" x14ac:dyDescent="0.25">
      <c r="B192" s="6" t="str">
        <f>IF(A192="","",'Cálculos y conversiones'!$B$14)</f>
        <v/>
      </c>
      <c r="C192" s="6" t="str">
        <f>IF(A192="","",'Cálculos y conversiones'!$B$11*Tabla!E191)</f>
        <v/>
      </c>
      <c r="D192" s="6" t="str">
        <f t="shared" si="4"/>
        <v/>
      </c>
      <c r="E192" s="6" t="str">
        <f t="shared" si="5"/>
        <v/>
      </c>
    </row>
    <row r="193" spans="2:5" x14ac:dyDescent="0.25">
      <c r="B193" s="6" t="str">
        <f>IF(A193="","",'Cálculos y conversiones'!$B$14)</f>
        <v/>
      </c>
      <c r="C193" s="6" t="str">
        <f>IF(A193="","",'Cálculos y conversiones'!$B$11*Tabla!E192)</f>
        <v/>
      </c>
      <c r="D193" s="6" t="str">
        <f t="shared" si="4"/>
        <v/>
      </c>
      <c r="E193" s="6" t="str">
        <f t="shared" si="5"/>
        <v/>
      </c>
    </row>
    <row r="194" spans="2:5" x14ac:dyDescent="0.25">
      <c r="B194" s="6" t="str">
        <f>IF(A194="","",'Cálculos y conversiones'!$B$14)</f>
        <v/>
      </c>
      <c r="C194" s="6" t="str">
        <f>IF(A194="","",'Cálculos y conversiones'!$B$11*Tabla!E193)</f>
        <v/>
      </c>
      <c r="D194" s="6" t="str">
        <f t="shared" si="4"/>
        <v/>
      </c>
      <c r="E194" s="6" t="str">
        <f t="shared" si="5"/>
        <v/>
      </c>
    </row>
    <row r="195" spans="2:5" x14ac:dyDescent="0.25">
      <c r="B195" s="6" t="str">
        <f>IF(A195="","",'Cálculos y conversiones'!$B$14)</f>
        <v/>
      </c>
      <c r="C195" s="6" t="str">
        <f>IF(A195="","",'Cálculos y conversiones'!$B$11*Tabla!E194)</f>
        <v/>
      </c>
      <c r="D195" s="6" t="str">
        <f t="shared" si="4"/>
        <v/>
      </c>
      <c r="E195" s="6" t="str">
        <f t="shared" si="5"/>
        <v/>
      </c>
    </row>
    <row r="196" spans="2:5" x14ac:dyDescent="0.25">
      <c r="B196" s="6" t="str">
        <f>IF(A196="","",'Cálculos y conversiones'!$B$14)</f>
        <v/>
      </c>
      <c r="C196" s="6" t="str">
        <f>IF(A196="","",'Cálculos y conversiones'!$B$11*Tabla!E195)</f>
        <v/>
      </c>
      <c r="D196" s="6" t="str">
        <f t="shared" si="4"/>
        <v/>
      </c>
      <c r="E196" s="6" t="str">
        <f t="shared" si="5"/>
        <v/>
      </c>
    </row>
    <row r="197" spans="2:5" x14ac:dyDescent="0.25">
      <c r="B197" s="6" t="str">
        <f>IF(A197="","",'Cálculos y conversiones'!$B$14)</f>
        <v/>
      </c>
      <c r="C197" s="6" t="str">
        <f>IF(A197="","",'Cálculos y conversiones'!$B$11*Tabla!E196)</f>
        <v/>
      </c>
      <c r="D197" s="6" t="str">
        <f t="shared" si="4"/>
        <v/>
      </c>
      <c r="E197" s="6" t="str">
        <f t="shared" si="5"/>
        <v/>
      </c>
    </row>
    <row r="198" spans="2:5" x14ac:dyDescent="0.25">
      <c r="B198" s="6" t="str">
        <f>IF(A198="","",'Cálculos y conversiones'!$B$14)</f>
        <v/>
      </c>
      <c r="C198" s="6" t="str">
        <f>IF(A198="","",'Cálculos y conversiones'!$B$11*Tabla!E197)</f>
        <v/>
      </c>
      <c r="D198" s="6" t="str">
        <f t="shared" si="4"/>
        <v/>
      </c>
      <c r="E198" s="6" t="str">
        <f t="shared" si="5"/>
        <v/>
      </c>
    </row>
    <row r="199" spans="2:5" x14ac:dyDescent="0.25">
      <c r="B199" s="6" t="str">
        <f>IF(A199="","",'Cálculos y conversiones'!$B$14)</f>
        <v/>
      </c>
      <c r="C199" s="6" t="str">
        <f>IF(A199="","",'Cálculos y conversiones'!$B$11*Tabla!E198)</f>
        <v/>
      </c>
      <c r="D199" s="6" t="str">
        <f t="shared" si="4"/>
        <v/>
      </c>
      <c r="E199" s="6" t="str">
        <f t="shared" si="5"/>
        <v/>
      </c>
    </row>
    <row r="200" spans="2:5" x14ac:dyDescent="0.25">
      <c r="B200" s="6" t="str">
        <f>IF(A200="","",'Cálculos y conversiones'!$B$14)</f>
        <v/>
      </c>
      <c r="C200" s="6" t="str">
        <f>IF(A200="","",'Cálculos y conversiones'!$B$11*Tabla!E199)</f>
        <v/>
      </c>
      <c r="D200" s="6" t="str">
        <f t="shared" si="4"/>
        <v/>
      </c>
      <c r="E200" s="6" t="str">
        <f t="shared" si="5"/>
        <v/>
      </c>
    </row>
    <row r="201" spans="2:5" x14ac:dyDescent="0.25">
      <c r="B201" s="6" t="str">
        <f>IF(A201="","",'Cálculos y conversiones'!$B$14)</f>
        <v/>
      </c>
      <c r="C201" s="6" t="str">
        <f>IF(A201="","",'Cálculos y conversiones'!$B$11*Tabla!E200)</f>
        <v/>
      </c>
      <c r="D201" s="6" t="str">
        <f t="shared" si="4"/>
        <v/>
      </c>
      <c r="E201" s="6" t="str">
        <f t="shared" si="5"/>
        <v/>
      </c>
    </row>
    <row r="202" spans="2:5" x14ac:dyDescent="0.25">
      <c r="B202" s="6" t="str">
        <f>IF(A202="","",'Cálculos y conversiones'!$B$14)</f>
        <v/>
      </c>
      <c r="C202" s="6" t="str">
        <f>IF(A202="","",'Cálculos y conversiones'!$B$11*Tabla!E201)</f>
        <v/>
      </c>
      <c r="D202" s="6" t="str">
        <f t="shared" ref="D202:D265" si="6">IF(A202="","",B202-C202)</f>
        <v/>
      </c>
      <c r="E202" s="6" t="str">
        <f t="shared" ref="E202:E265" si="7">IF(A202="","",E201-D202)</f>
        <v/>
      </c>
    </row>
    <row r="203" spans="2:5" x14ac:dyDescent="0.25">
      <c r="B203" s="6" t="str">
        <f>IF(A203="","",'Cálculos y conversiones'!$B$14)</f>
        <v/>
      </c>
      <c r="C203" s="6" t="str">
        <f>IF(A203="","",'Cálculos y conversiones'!$B$11*Tabla!E202)</f>
        <v/>
      </c>
      <c r="D203" s="6" t="str">
        <f t="shared" si="6"/>
        <v/>
      </c>
      <c r="E203" s="6" t="str">
        <f t="shared" si="7"/>
        <v/>
      </c>
    </row>
    <row r="204" spans="2:5" x14ac:dyDescent="0.25">
      <c r="B204" s="6" t="str">
        <f>IF(A204="","",'Cálculos y conversiones'!$B$14)</f>
        <v/>
      </c>
      <c r="C204" s="6" t="str">
        <f>IF(A204="","",'Cálculos y conversiones'!$B$11*Tabla!E203)</f>
        <v/>
      </c>
      <c r="D204" s="6" t="str">
        <f t="shared" si="6"/>
        <v/>
      </c>
      <c r="E204" s="6" t="str">
        <f t="shared" si="7"/>
        <v/>
      </c>
    </row>
    <row r="205" spans="2:5" x14ac:dyDescent="0.25">
      <c r="B205" s="6" t="str">
        <f>IF(A205="","",'Cálculos y conversiones'!$B$14)</f>
        <v/>
      </c>
      <c r="C205" s="6" t="str">
        <f>IF(A205="","",'Cálculos y conversiones'!$B$11*Tabla!E204)</f>
        <v/>
      </c>
      <c r="D205" s="6" t="str">
        <f t="shared" si="6"/>
        <v/>
      </c>
      <c r="E205" s="6" t="str">
        <f t="shared" si="7"/>
        <v/>
      </c>
    </row>
    <row r="206" spans="2:5" x14ac:dyDescent="0.25">
      <c r="B206" s="6" t="str">
        <f>IF(A206="","",'Cálculos y conversiones'!$B$14)</f>
        <v/>
      </c>
      <c r="C206" s="6" t="str">
        <f>IF(A206="","",'Cálculos y conversiones'!$B$11*Tabla!E205)</f>
        <v/>
      </c>
      <c r="D206" s="6" t="str">
        <f t="shared" si="6"/>
        <v/>
      </c>
      <c r="E206" s="6" t="str">
        <f t="shared" si="7"/>
        <v/>
      </c>
    </row>
    <row r="207" spans="2:5" x14ac:dyDescent="0.25">
      <c r="B207" s="6" t="str">
        <f>IF(A207="","",'Cálculos y conversiones'!$B$14)</f>
        <v/>
      </c>
      <c r="C207" s="6" t="str">
        <f>IF(A207="","",'Cálculos y conversiones'!$B$11*Tabla!E206)</f>
        <v/>
      </c>
      <c r="D207" s="6" t="str">
        <f t="shared" si="6"/>
        <v/>
      </c>
      <c r="E207" s="6" t="str">
        <f t="shared" si="7"/>
        <v/>
      </c>
    </row>
    <row r="208" spans="2:5" x14ac:dyDescent="0.25">
      <c r="B208" s="6" t="str">
        <f>IF(A208="","",'Cálculos y conversiones'!$B$14)</f>
        <v/>
      </c>
      <c r="C208" s="6" t="str">
        <f>IF(A208="","",'Cálculos y conversiones'!$B$11*Tabla!E207)</f>
        <v/>
      </c>
      <c r="D208" s="6" t="str">
        <f t="shared" si="6"/>
        <v/>
      </c>
      <c r="E208" s="6" t="str">
        <f t="shared" si="7"/>
        <v/>
      </c>
    </row>
    <row r="209" spans="2:5" x14ac:dyDescent="0.25">
      <c r="B209" s="6" t="str">
        <f>IF(A209="","",'Cálculos y conversiones'!$B$14)</f>
        <v/>
      </c>
      <c r="C209" s="6" t="str">
        <f>IF(A209="","",'Cálculos y conversiones'!$B$11*Tabla!E208)</f>
        <v/>
      </c>
      <c r="D209" s="6" t="str">
        <f t="shared" si="6"/>
        <v/>
      </c>
      <c r="E209" s="6" t="str">
        <f t="shared" si="7"/>
        <v/>
      </c>
    </row>
    <row r="210" spans="2:5" x14ac:dyDescent="0.25">
      <c r="B210" s="6" t="str">
        <f>IF(A210="","",'Cálculos y conversiones'!$B$14)</f>
        <v/>
      </c>
      <c r="C210" s="6" t="str">
        <f>IF(A210="","",'Cálculos y conversiones'!$B$11*Tabla!E209)</f>
        <v/>
      </c>
      <c r="D210" s="6" t="str">
        <f t="shared" si="6"/>
        <v/>
      </c>
      <c r="E210" s="6" t="str">
        <f t="shared" si="7"/>
        <v/>
      </c>
    </row>
    <row r="211" spans="2:5" x14ac:dyDescent="0.25">
      <c r="B211" s="6" t="str">
        <f>IF(A211="","",'Cálculos y conversiones'!$B$14)</f>
        <v/>
      </c>
      <c r="C211" s="6" t="str">
        <f>IF(A211="","",'Cálculos y conversiones'!$B$11*Tabla!E210)</f>
        <v/>
      </c>
      <c r="D211" s="6" t="str">
        <f t="shared" si="6"/>
        <v/>
      </c>
      <c r="E211" s="6" t="str">
        <f t="shared" si="7"/>
        <v/>
      </c>
    </row>
    <row r="212" spans="2:5" x14ac:dyDescent="0.25">
      <c r="B212" s="6" t="str">
        <f>IF(A212="","",'Cálculos y conversiones'!$B$14)</f>
        <v/>
      </c>
      <c r="C212" s="6" t="str">
        <f>IF(A212="","",'Cálculos y conversiones'!$B$11*Tabla!E211)</f>
        <v/>
      </c>
      <c r="D212" s="6" t="str">
        <f t="shared" si="6"/>
        <v/>
      </c>
      <c r="E212" s="6" t="str">
        <f t="shared" si="7"/>
        <v/>
      </c>
    </row>
    <row r="213" spans="2:5" x14ac:dyDescent="0.25">
      <c r="B213" s="6" t="str">
        <f>IF(A213="","",'Cálculos y conversiones'!$B$14)</f>
        <v/>
      </c>
      <c r="C213" s="6" t="str">
        <f>IF(A213="","",'Cálculos y conversiones'!$B$11*Tabla!E212)</f>
        <v/>
      </c>
      <c r="D213" s="6" t="str">
        <f t="shared" si="6"/>
        <v/>
      </c>
      <c r="E213" s="6" t="str">
        <f t="shared" si="7"/>
        <v/>
      </c>
    </row>
    <row r="214" spans="2:5" x14ac:dyDescent="0.25">
      <c r="B214" s="6" t="str">
        <f>IF(A214="","",'Cálculos y conversiones'!$B$14)</f>
        <v/>
      </c>
      <c r="C214" s="6" t="str">
        <f>IF(A214="","",'Cálculos y conversiones'!$B$11*Tabla!E213)</f>
        <v/>
      </c>
      <c r="D214" s="6" t="str">
        <f t="shared" si="6"/>
        <v/>
      </c>
      <c r="E214" s="6" t="str">
        <f t="shared" si="7"/>
        <v/>
      </c>
    </row>
    <row r="215" spans="2:5" x14ac:dyDescent="0.25">
      <c r="B215" s="6" t="str">
        <f>IF(A215="","",'Cálculos y conversiones'!$B$14)</f>
        <v/>
      </c>
      <c r="C215" s="6" t="str">
        <f>IF(A215="","",'Cálculos y conversiones'!$B$11*Tabla!E214)</f>
        <v/>
      </c>
      <c r="D215" s="6" t="str">
        <f t="shared" si="6"/>
        <v/>
      </c>
      <c r="E215" s="6" t="str">
        <f t="shared" si="7"/>
        <v/>
      </c>
    </row>
    <row r="216" spans="2:5" x14ac:dyDescent="0.25">
      <c r="B216" s="6" t="str">
        <f>IF(A216="","",'Cálculos y conversiones'!$B$14)</f>
        <v/>
      </c>
      <c r="C216" s="6" t="str">
        <f>IF(A216="","",'Cálculos y conversiones'!$B$11*Tabla!E215)</f>
        <v/>
      </c>
      <c r="D216" s="6" t="str">
        <f t="shared" si="6"/>
        <v/>
      </c>
      <c r="E216" s="6" t="str">
        <f t="shared" si="7"/>
        <v/>
      </c>
    </row>
    <row r="217" spans="2:5" x14ac:dyDescent="0.25">
      <c r="B217" s="6" t="str">
        <f>IF(A217="","",'Cálculos y conversiones'!$B$14)</f>
        <v/>
      </c>
      <c r="C217" s="6" t="str">
        <f>IF(A217="","",'Cálculos y conversiones'!$B$11*Tabla!E216)</f>
        <v/>
      </c>
      <c r="D217" s="6" t="str">
        <f t="shared" si="6"/>
        <v/>
      </c>
      <c r="E217" s="6" t="str">
        <f t="shared" si="7"/>
        <v/>
      </c>
    </row>
    <row r="218" spans="2:5" x14ac:dyDescent="0.25">
      <c r="B218" s="6" t="str">
        <f>IF(A218="","",'Cálculos y conversiones'!$B$14)</f>
        <v/>
      </c>
      <c r="C218" s="6" t="str">
        <f>IF(A218="","",'Cálculos y conversiones'!$B$11*Tabla!E217)</f>
        <v/>
      </c>
      <c r="D218" s="6" t="str">
        <f t="shared" si="6"/>
        <v/>
      </c>
      <c r="E218" s="6" t="str">
        <f t="shared" si="7"/>
        <v/>
      </c>
    </row>
    <row r="219" spans="2:5" x14ac:dyDescent="0.25">
      <c r="B219" s="6" t="str">
        <f>IF(A219="","",'Cálculos y conversiones'!$B$14)</f>
        <v/>
      </c>
      <c r="C219" s="6" t="str">
        <f>IF(A219="","",'Cálculos y conversiones'!$B$11*Tabla!E218)</f>
        <v/>
      </c>
      <c r="D219" s="6" t="str">
        <f t="shared" si="6"/>
        <v/>
      </c>
      <c r="E219" s="6" t="str">
        <f t="shared" si="7"/>
        <v/>
      </c>
    </row>
    <row r="220" spans="2:5" x14ac:dyDescent="0.25">
      <c r="B220" s="6" t="str">
        <f>IF(A220="","",'Cálculos y conversiones'!$B$14)</f>
        <v/>
      </c>
      <c r="C220" s="6" t="str">
        <f>IF(A220="","",'Cálculos y conversiones'!$B$11*Tabla!E219)</f>
        <v/>
      </c>
      <c r="D220" s="6" t="str">
        <f t="shared" si="6"/>
        <v/>
      </c>
      <c r="E220" s="6" t="str">
        <f t="shared" si="7"/>
        <v/>
      </c>
    </row>
    <row r="221" spans="2:5" x14ac:dyDescent="0.25">
      <c r="B221" s="6" t="str">
        <f>IF(A221="","",'Cálculos y conversiones'!$B$14)</f>
        <v/>
      </c>
      <c r="C221" s="6" t="str">
        <f>IF(A221="","",'Cálculos y conversiones'!$B$11*Tabla!E220)</f>
        <v/>
      </c>
      <c r="D221" s="6" t="str">
        <f t="shared" si="6"/>
        <v/>
      </c>
      <c r="E221" s="6" t="str">
        <f t="shared" si="7"/>
        <v/>
      </c>
    </row>
    <row r="222" spans="2:5" x14ac:dyDescent="0.25">
      <c r="B222" s="6" t="str">
        <f>IF(A222="","",'Cálculos y conversiones'!$B$14)</f>
        <v/>
      </c>
      <c r="C222" s="6" t="str">
        <f>IF(A222="","",'Cálculos y conversiones'!$B$11*Tabla!E221)</f>
        <v/>
      </c>
      <c r="D222" s="6" t="str">
        <f t="shared" si="6"/>
        <v/>
      </c>
      <c r="E222" s="6" t="str">
        <f t="shared" si="7"/>
        <v/>
      </c>
    </row>
    <row r="223" spans="2:5" x14ac:dyDescent="0.25">
      <c r="B223" s="6" t="str">
        <f>IF(A223="","",'Cálculos y conversiones'!$B$14)</f>
        <v/>
      </c>
      <c r="C223" s="6" t="str">
        <f>IF(A223="","",'Cálculos y conversiones'!$B$11*Tabla!E222)</f>
        <v/>
      </c>
      <c r="D223" s="6" t="str">
        <f t="shared" si="6"/>
        <v/>
      </c>
      <c r="E223" s="6" t="str">
        <f t="shared" si="7"/>
        <v/>
      </c>
    </row>
    <row r="224" spans="2:5" x14ac:dyDescent="0.25">
      <c r="B224" s="6" t="str">
        <f>IF(A224="","",'Cálculos y conversiones'!$B$14)</f>
        <v/>
      </c>
      <c r="C224" s="6" t="str">
        <f>IF(A224="","",'Cálculos y conversiones'!$B$11*Tabla!E223)</f>
        <v/>
      </c>
      <c r="D224" s="6" t="str">
        <f t="shared" si="6"/>
        <v/>
      </c>
      <c r="E224" s="6" t="str">
        <f t="shared" si="7"/>
        <v/>
      </c>
    </row>
    <row r="225" spans="2:5" x14ac:dyDescent="0.25">
      <c r="B225" s="6" t="str">
        <f>IF(A225="","",'Cálculos y conversiones'!$B$14)</f>
        <v/>
      </c>
      <c r="C225" s="6" t="str">
        <f>IF(A225="","",'Cálculos y conversiones'!$B$11*Tabla!E224)</f>
        <v/>
      </c>
      <c r="D225" s="6" t="str">
        <f t="shared" si="6"/>
        <v/>
      </c>
      <c r="E225" s="6" t="str">
        <f t="shared" si="7"/>
        <v/>
      </c>
    </row>
    <row r="226" spans="2:5" x14ac:dyDescent="0.25">
      <c r="B226" s="6" t="str">
        <f>IF(A226="","",'Cálculos y conversiones'!$B$14)</f>
        <v/>
      </c>
      <c r="C226" s="6" t="str">
        <f>IF(A226="","",'Cálculos y conversiones'!$B$11*Tabla!E225)</f>
        <v/>
      </c>
      <c r="D226" s="6" t="str">
        <f t="shared" si="6"/>
        <v/>
      </c>
      <c r="E226" s="6" t="str">
        <f t="shared" si="7"/>
        <v/>
      </c>
    </row>
    <row r="227" spans="2:5" x14ac:dyDescent="0.25">
      <c r="B227" s="6" t="str">
        <f>IF(A227="","",'Cálculos y conversiones'!$B$14)</f>
        <v/>
      </c>
      <c r="C227" s="6" t="str">
        <f>IF(A227="","",'Cálculos y conversiones'!$B$11*Tabla!E226)</f>
        <v/>
      </c>
      <c r="D227" s="6" t="str">
        <f t="shared" si="6"/>
        <v/>
      </c>
      <c r="E227" s="6" t="str">
        <f t="shared" si="7"/>
        <v/>
      </c>
    </row>
    <row r="228" spans="2:5" x14ac:dyDescent="0.25">
      <c r="B228" s="6" t="str">
        <f>IF(A228="","",'Cálculos y conversiones'!$B$14)</f>
        <v/>
      </c>
      <c r="C228" s="6" t="str">
        <f>IF(A228="","",'Cálculos y conversiones'!$B$11*Tabla!E227)</f>
        <v/>
      </c>
      <c r="D228" s="6" t="str">
        <f t="shared" si="6"/>
        <v/>
      </c>
      <c r="E228" s="6" t="str">
        <f t="shared" si="7"/>
        <v/>
      </c>
    </row>
    <row r="229" spans="2:5" x14ac:dyDescent="0.25">
      <c r="B229" s="6" t="str">
        <f>IF(A229="","",'Cálculos y conversiones'!$B$14)</f>
        <v/>
      </c>
      <c r="C229" s="6" t="str">
        <f>IF(A229="","",'Cálculos y conversiones'!$B$11*Tabla!E228)</f>
        <v/>
      </c>
      <c r="D229" s="6" t="str">
        <f t="shared" si="6"/>
        <v/>
      </c>
      <c r="E229" s="6" t="str">
        <f t="shared" si="7"/>
        <v/>
      </c>
    </row>
    <row r="230" spans="2:5" x14ac:dyDescent="0.25">
      <c r="B230" s="6" t="str">
        <f>IF(A230="","",'Cálculos y conversiones'!$B$14)</f>
        <v/>
      </c>
      <c r="C230" s="6" t="str">
        <f>IF(A230="","",'Cálculos y conversiones'!$B$11*Tabla!E229)</f>
        <v/>
      </c>
      <c r="D230" s="6" t="str">
        <f t="shared" si="6"/>
        <v/>
      </c>
      <c r="E230" s="6" t="str">
        <f t="shared" si="7"/>
        <v/>
      </c>
    </row>
    <row r="231" spans="2:5" x14ac:dyDescent="0.25">
      <c r="B231" s="6" t="str">
        <f>IF(A231="","",'Cálculos y conversiones'!$B$14)</f>
        <v/>
      </c>
      <c r="C231" s="6" t="str">
        <f>IF(A231="","",'Cálculos y conversiones'!$B$11*Tabla!E230)</f>
        <v/>
      </c>
      <c r="D231" s="6" t="str">
        <f t="shared" si="6"/>
        <v/>
      </c>
      <c r="E231" s="6" t="str">
        <f t="shared" si="7"/>
        <v/>
      </c>
    </row>
    <row r="232" spans="2:5" x14ac:dyDescent="0.25">
      <c r="B232" s="6" t="str">
        <f>IF(A232="","",'Cálculos y conversiones'!$B$14)</f>
        <v/>
      </c>
      <c r="C232" s="6" t="str">
        <f>IF(A232="","",'Cálculos y conversiones'!$B$11*Tabla!E231)</f>
        <v/>
      </c>
      <c r="D232" s="6" t="str">
        <f t="shared" si="6"/>
        <v/>
      </c>
      <c r="E232" s="6" t="str">
        <f t="shared" si="7"/>
        <v/>
      </c>
    </row>
    <row r="233" spans="2:5" x14ac:dyDescent="0.25">
      <c r="B233" s="6" t="str">
        <f>IF(A233="","",'Cálculos y conversiones'!$B$14)</f>
        <v/>
      </c>
      <c r="C233" s="6" t="str">
        <f>IF(A233="","",'Cálculos y conversiones'!$B$11*Tabla!E232)</f>
        <v/>
      </c>
      <c r="D233" s="6" t="str">
        <f t="shared" si="6"/>
        <v/>
      </c>
      <c r="E233" s="6" t="str">
        <f t="shared" si="7"/>
        <v/>
      </c>
    </row>
    <row r="234" spans="2:5" x14ac:dyDescent="0.25">
      <c r="B234" s="6" t="str">
        <f>IF(A234="","",'Cálculos y conversiones'!$B$14)</f>
        <v/>
      </c>
      <c r="C234" s="6" t="str">
        <f>IF(A234="","",'Cálculos y conversiones'!$B$11*Tabla!E233)</f>
        <v/>
      </c>
      <c r="D234" s="6" t="str">
        <f t="shared" si="6"/>
        <v/>
      </c>
      <c r="E234" s="6" t="str">
        <f t="shared" si="7"/>
        <v/>
      </c>
    </row>
    <row r="235" spans="2:5" x14ac:dyDescent="0.25">
      <c r="B235" s="6" t="str">
        <f>IF(A235="","",'Cálculos y conversiones'!$B$14)</f>
        <v/>
      </c>
      <c r="C235" s="6" t="str">
        <f>IF(A235="","",'Cálculos y conversiones'!$B$11*Tabla!E234)</f>
        <v/>
      </c>
      <c r="D235" s="6" t="str">
        <f t="shared" si="6"/>
        <v/>
      </c>
      <c r="E235" s="6" t="str">
        <f t="shared" si="7"/>
        <v/>
      </c>
    </row>
    <row r="236" spans="2:5" x14ac:dyDescent="0.25">
      <c r="B236" s="6" t="str">
        <f>IF(A236="","",'Cálculos y conversiones'!$B$14)</f>
        <v/>
      </c>
      <c r="C236" s="6" t="str">
        <f>IF(A236="","",'Cálculos y conversiones'!$B$11*Tabla!E235)</f>
        <v/>
      </c>
      <c r="D236" s="6" t="str">
        <f t="shared" si="6"/>
        <v/>
      </c>
      <c r="E236" s="6" t="str">
        <f t="shared" si="7"/>
        <v/>
      </c>
    </row>
    <row r="237" spans="2:5" x14ac:dyDescent="0.25">
      <c r="B237" s="6" t="str">
        <f>IF(A237="","",'Cálculos y conversiones'!$B$14)</f>
        <v/>
      </c>
      <c r="C237" s="6" t="str">
        <f>IF(A237="","",'Cálculos y conversiones'!$B$11*Tabla!E236)</f>
        <v/>
      </c>
      <c r="D237" s="6" t="str">
        <f t="shared" si="6"/>
        <v/>
      </c>
      <c r="E237" s="6" t="str">
        <f t="shared" si="7"/>
        <v/>
      </c>
    </row>
    <row r="238" spans="2:5" x14ac:dyDescent="0.25">
      <c r="B238" s="6" t="str">
        <f>IF(A238="","",'Cálculos y conversiones'!$B$14)</f>
        <v/>
      </c>
      <c r="C238" s="6" t="str">
        <f>IF(A238="","",'Cálculos y conversiones'!$B$11*Tabla!E237)</f>
        <v/>
      </c>
      <c r="D238" s="6" t="str">
        <f t="shared" si="6"/>
        <v/>
      </c>
      <c r="E238" s="6" t="str">
        <f t="shared" si="7"/>
        <v/>
      </c>
    </row>
    <row r="239" spans="2:5" x14ac:dyDescent="0.25">
      <c r="B239" s="6" t="str">
        <f>IF(A239="","",'Cálculos y conversiones'!$B$14)</f>
        <v/>
      </c>
      <c r="C239" s="6" t="str">
        <f>IF(A239="","",'Cálculos y conversiones'!$B$11*Tabla!E238)</f>
        <v/>
      </c>
      <c r="D239" s="6" t="str">
        <f t="shared" si="6"/>
        <v/>
      </c>
      <c r="E239" s="6" t="str">
        <f t="shared" si="7"/>
        <v/>
      </c>
    </row>
    <row r="240" spans="2:5" x14ac:dyDescent="0.25">
      <c r="B240" s="6" t="str">
        <f>IF(A240="","",'Cálculos y conversiones'!$B$14)</f>
        <v/>
      </c>
      <c r="C240" s="6" t="str">
        <f>IF(A240="","",'Cálculos y conversiones'!$B$11*Tabla!E239)</f>
        <v/>
      </c>
      <c r="D240" s="6" t="str">
        <f t="shared" si="6"/>
        <v/>
      </c>
      <c r="E240" s="6" t="str">
        <f t="shared" si="7"/>
        <v/>
      </c>
    </row>
    <row r="241" spans="2:5" x14ac:dyDescent="0.25">
      <c r="B241" s="6" t="str">
        <f>IF(A241="","",'Cálculos y conversiones'!$B$14)</f>
        <v/>
      </c>
      <c r="C241" s="6" t="str">
        <f>IF(A241="","",'Cálculos y conversiones'!$B$11*Tabla!E240)</f>
        <v/>
      </c>
      <c r="D241" s="6" t="str">
        <f t="shared" si="6"/>
        <v/>
      </c>
      <c r="E241" s="6" t="str">
        <f t="shared" si="7"/>
        <v/>
      </c>
    </row>
    <row r="242" spans="2:5" x14ac:dyDescent="0.25">
      <c r="B242" s="6" t="str">
        <f>IF(A242="","",'Cálculos y conversiones'!$B$14)</f>
        <v/>
      </c>
      <c r="C242" s="6" t="str">
        <f>IF(A242="","",'Cálculos y conversiones'!$B$11*Tabla!E241)</f>
        <v/>
      </c>
      <c r="D242" s="6" t="str">
        <f t="shared" si="6"/>
        <v/>
      </c>
      <c r="E242" s="6" t="str">
        <f t="shared" si="7"/>
        <v/>
      </c>
    </row>
    <row r="243" spans="2:5" x14ac:dyDescent="0.25">
      <c r="B243" s="6" t="str">
        <f>IF(A243="","",'Cálculos y conversiones'!$B$14)</f>
        <v/>
      </c>
      <c r="C243" s="6" t="str">
        <f>IF(A243="","",'Cálculos y conversiones'!$B$11*Tabla!E242)</f>
        <v/>
      </c>
      <c r="D243" s="6" t="str">
        <f t="shared" si="6"/>
        <v/>
      </c>
      <c r="E243" s="6" t="str">
        <f t="shared" si="7"/>
        <v/>
      </c>
    </row>
    <row r="244" spans="2:5" x14ac:dyDescent="0.25">
      <c r="B244" s="6" t="str">
        <f>IF(A244="","",'Cálculos y conversiones'!$B$14)</f>
        <v/>
      </c>
      <c r="C244" s="6" t="str">
        <f>IF(A244="","",'Cálculos y conversiones'!$B$11*Tabla!E243)</f>
        <v/>
      </c>
      <c r="D244" s="6" t="str">
        <f t="shared" si="6"/>
        <v/>
      </c>
      <c r="E244" s="6" t="str">
        <f t="shared" si="7"/>
        <v/>
      </c>
    </row>
    <row r="245" spans="2:5" x14ac:dyDescent="0.25">
      <c r="B245" s="6" t="str">
        <f>IF(A245="","",'Cálculos y conversiones'!$B$14)</f>
        <v/>
      </c>
      <c r="C245" s="6" t="str">
        <f>IF(A245="","",'Cálculos y conversiones'!$B$11*Tabla!E244)</f>
        <v/>
      </c>
      <c r="D245" s="6" t="str">
        <f t="shared" si="6"/>
        <v/>
      </c>
      <c r="E245" s="6" t="str">
        <f t="shared" si="7"/>
        <v/>
      </c>
    </row>
    <row r="246" spans="2:5" x14ac:dyDescent="0.25">
      <c r="B246" s="6" t="str">
        <f>IF(A246="","",'Cálculos y conversiones'!$B$14)</f>
        <v/>
      </c>
      <c r="C246" s="6" t="str">
        <f>IF(A246="","",'Cálculos y conversiones'!$B$11*Tabla!E245)</f>
        <v/>
      </c>
      <c r="D246" s="6" t="str">
        <f t="shared" si="6"/>
        <v/>
      </c>
      <c r="E246" s="6" t="str">
        <f t="shared" si="7"/>
        <v/>
      </c>
    </row>
    <row r="247" spans="2:5" x14ac:dyDescent="0.25">
      <c r="B247" s="6" t="str">
        <f>IF(A247="","",'Cálculos y conversiones'!$B$14)</f>
        <v/>
      </c>
      <c r="C247" s="6" t="str">
        <f>IF(A247="","",'Cálculos y conversiones'!$B$11*Tabla!E246)</f>
        <v/>
      </c>
      <c r="D247" s="6" t="str">
        <f t="shared" si="6"/>
        <v/>
      </c>
      <c r="E247" s="6" t="str">
        <f t="shared" si="7"/>
        <v/>
      </c>
    </row>
    <row r="248" spans="2:5" x14ac:dyDescent="0.25">
      <c r="B248" s="6" t="str">
        <f>IF(A248="","",'Cálculos y conversiones'!$B$14)</f>
        <v/>
      </c>
      <c r="C248" s="6" t="str">
        <f>IF(A248="","",'Cálculos y conversiones'!$B$11*Tabla!E247)</f>
        <v/>
      </c>
      <c r="D248" s="6" t="str">
        <f t="shared" si="6"/>
        <v/>
      </c>
      <c r="E248" s="6" t="str">
        <f t="shared" si="7"/>
        <v/>
      </c>
    </row>
    <row r="249" spans="2:5" x14ac:dyDescent="0.25">
      <c r="B249" s="6" t="str">
        <f>IF(A249="","",'Cálculos y conversiones'!$B$14)</f>
        <v/>
      </c>
      <c r="C249" s="6" t="str">
        <f>IF(A249="","",'Cálculos y conversiones'!$B$11*Tabla!E248)</f>
        <v/>
      </c>
      <c r="D249" s="6" t="str">
        <f t="shared" si="6"/>
        <v/>
      </c>
      <c r="E249" s="6" t="str">
        <f t="shared" si="7"/>
        <v/>
      </c>
    </row>
    <row r="250" spans="2:5" x14ac:dyDescent="0.25">
      <c r="B250" s="6" t="str">
        <f>IF(A250="","",'Cálculos y conversiones'!$B$14)</f>
        <v/>
      </c>
      <c r="C250" s="6" t="str">
        <f>IF(A250="","",'Cálculos y conversiones'!$B$11*Tabla!E249)</f>
        <v/>
      </c>
      <c r="D250" s="6" t="str">
        <f t="shared" si="6"/>
        <v/>
      </c>
      <c r="E250" s="6" t="str">
        <f t="shared" si="7"/>
        <v/>
      </c>
    </row>
    <row r="251" spans="2:5" x14ac:dyDescent="0.25">
      <c r="B251" s="6" t="str">
        <f>IF(A251="","",'Cálculos y conversiones'!$B$14)</f>
        <v/>
      </c>
      <c r="C251" s="6" t="str">
        <f>IF(A251="","",'Cálculos y conversiones'!$B$11*Tabla!E250)</f>
        <v/>
      </c>
      <c r="D251" s="6" t="str">
        <f t="shared" si="6"/>
        <v/>
      </c>
      <c r="E251" s="6" t="str">
        <f t="shared" si="7"/>
        <v/>
      </c>
    </row>
    <row r="252" spans="2:5" x14ac:dyDescent="0.25">
      <c r="B252" s="6" t="str">
        <f>IF(A252="","",'Cálculos y conversiones'!$B$14)</f>
        <v/>
      </c>
      <c r="C252" s="6" t="str">
        <f>IF(A252="","",'Cálculos y conversiones'!$B$11*Tabla!E251)</f>
        <v/>
      </c>
      <c r="D252" s="6" t="str">
        <f t="shared" si="6"/>
        <v/>
      </c>
      <c r="E252" s="6" t="str">
        <f t="shared" si="7"/>
        <v/>
      </c>
    </row>
    <row r="253" spans="2:5" x14ac:dyDescent="0.25">
      <c r="B253" s="6" t="str">
        <f>IF(A253="","",'Cálculos y conversiones'!$B$14)</f>
        <v/>
      </c>
      <c r="C253" s="6" t="str">
        <f>IF(A253="","",'Cálculos y conversiones'!$B$11*Tabla!E252)</f>
        <v/>
      </c>
      <c r="D253" s="6" t="str">
        <f t="shared" si="6"/>
        <v/>
      </c>
      <c r="E253" s="6" t="str">
        <f t="shared" si="7"/>
        <v/>
      </c>
    </row>
    <row r="254" spans="2:5" x14ac:dyDescent="0.25">
      <c r="B254" s="6" t="str">
        <f>IF(A254="","",'Cálculos y conversiones'!$B$14)</f>
        <v/>
      </c>
      <c r="C254" s="6" t="str">
        <f>IF(A254="","",'Cálculos y conversiones'!$B$11*Tabla!E253)</f>
        <v/>
      </c>
      <c r="D254" s="6" t="str">
        <f t="shared" si="6"/>
        <v/>
      </c>
      <c r="E254" s="6" t="str">
        <f t="shared" si="7"/>
        <v/>
      </c>
    </row>
    <row r="255" spans="2:5" x14ac:dyDescent="0.25">
      <c r="B255" s="6" t="str">
        <f>IF(A255="","",'Cálculos y conversiones'!$B$14)</f>
        <v/>
      </c>
      <c r="C255" s="6" t="str">
        <f>IF(A255="","",'Cálculos y conversiones'!$B$11*Tabla!E254)</f>
        <v/>
      </c>
      <c r="D255" s="6" t="str">
        <f t="shared" si="6"/>
        <v/>
      </c>
      <c r="E255" s="6" t="str">
        <f t="shared" si="7"/>
        <v/>
      </c>
    </row>
    <row r="256" spans="2:5" x14ac:dyDescent="0.25">
      <c r="B256" s="6" t="str">
        <f>IF(A256="","",'Cálculos y conversiones'!$B$14)</f>
        <v/>
      </c>
      <c r="C256" s="6" t="str">
        <f>IF(A256="","",'Cálculos y conversiones'!$B$11*Tabla!E255)</f>
        <v/>
      </c>
      <c r="D256" s="6" t="str">
        <f t="shared" si="6"/>
        <v/>
      </c>
      <c r="E256" s="6" t="str">
        <f t="shared" si="7"/>
        <v/>
      </c>
    </row>
    <row r="257" spans="2:5" x14ac:dyDescent="0.25">
      <c r="B257" s="6" t="str">
        <f>IF(A257="","",'Cálculos y conversiones'!$B$14)</f>
        <v/>
      </c>
      <c r="C257" s="6" t="str">
        <f>IF(A257="","",'Cálculos y conversiones'!$B$11*Tabla!E256)</f>
        <v/>
      </c>
      <c r="D257" s="6" t="str">
        <f t="shared" si="6"/>
        <v/>
      </c>
      <c r="E257" s="6" t="str">
        <f t="shared" si="7"/>
        <v/>
      </c>
    </row>
    <row r="258" spans="2:5" x14ac:dyDescent="0.25">
      <c r="B258" s="6" t="str">
        <f>IF(A258="","",'Cálculos y conversiones'!$B$14)</f>
        <v/>
      </c>
      <c r="C258" s="6" t="str">
        <f>IF(A258="","",'Cálculos y conversiones'!$B$11*Tabla!E257)</f>
        <v/>
      </c>
      <c r="D258" s="6" t="str">
        <f t="shared" si="6"/>
        <v/>
      </c>
      <c r="E258" s="6" t="str">
        <f t="shared" si="7"/>
        <v/>
      </c>
    </row>
    <row r="259" spans="2:5" x14ac:dyDescent="0.25">
      <c r="B259" s="6" t="str">
        <f>IF(A259="","",'Cálculos y conversiones'!$B$14)</f>
        <v/>
      </c>
      <c r="C259" s="6" t="str">
        <f>IF(A259="","",'Cálculos y conversiones'!$B$11*Tabla!E258)</f>
        <v/>
      </c>
      <c r="D259" s="6" t="str">
        <f t="shared" si="6"/>
        <v/>
      </c>
      <c r="E259" s="6" t="str">
        <f t="shared" si="7"/>
        <v/>
      </c>
    </row>
    <row r="260" spans="2:5" x14ac:dyDescent="0.25">
      <c r="B260" s="6" t="str">
        <f>IF(A260="","",'Cálculos y conversiones'!$B$14)</f>
        <v/>
      </c>
      <c r="C260" s="6" t="str">
        <f>IF(A260="","",'Cálculos y conversiones'!$B$11*Tabla!E259)</f>
        <v/>
      </c>
      <c r="D260" s="6" t="str">
        <f t="shared" si="6"/>
        <v/>
      </c>
      <c r="E260" s="6" t="str">
        <f t="shared" si="7"/>
        <v/>
      </c>
    </row>
    <row r="261" spans="2:5" x14ac:dyDescent="0.25">
      <c r="B261" s="6" t="str">
        <f>IF(A261="","",'Cálculos y conversiones'!$B$14)</f>
        <v/>
      </c>
      <c r="C261" s="6" t="str">
        <f>IF(A261="","",'Cálculos y conversiones'!$B$11*Tabla!E260)</f>
        <v/>
      </c>
      <c r="D261" s="6" t="str">
        <f t="shared" si="6"/>
        <v/>
      </c>
      <c r="E261" s="6" t="str">
        <f t="shared" si="7"/>
        <v/>
      </c>
    </row>
    <row r="262" spans="2:5" x14ac:dyDescent="0.25">
      <c r="B262" s="6" t="str">
        <f>IF(A262="","",'Cálculos y conversiones'!$B$14)</f>
        <v/>
      </c>
      <c r="C262" s="6" t="str">
        <f>IF(A262="","",'Cálculos y conversiones'!$B$11*Tabla!E261)</f>
        <v/>
      </c>
      <c r="D262" s="6" t="str">
        <f t="shared" si="6"/>
        <v/>
      </c>
      <c r="E262" s="6" t="str">
        <f t="shared" si="7"/>
        <v/>
      </c>
    </row>
    <row r="263" spans="2:5" x14ac:dyDescent="0.25">
      <c r="B263" s="6" t="str">
        <f>IF(A263="","",'Cálculos y conversiones'!$B$14)</f>
        <v/>
      </c>
      <c r="C263" s="6" t="str">
        <f>IF(A263="","",'Cálculos y conversiones'!$B$11*Tabla!E262)</f>
        <v/>
      </c>
      <c r="D263" s="6" t="str">
        <f t="shared" si="6"/>
        <v/>
      </c>
      <c r="E263" s="6" t="str">
        <f t="shared" si="7"/>
        <v/>
      </c>
    </row>
    <row r="264" spans="2:5" x14ac:dyDescent="0.25">
      <c r="B264" s="6" t="str">
        <f>IF(A264="","",'Cálculos y conversiones'!$B$14)</f>
        <v/>
      </c>
      <c r="C264" s="6" t="str">
        <f>IF(A264="","",'Cálculos y conversiones'!$B$11*Tabla!E263)</f>
        <v/>
      </c>
      <c r="D264" s="6" t="str">
        <f t="shared" si="6"/>
        <v/>
      </c>
      <c r="E264" s="6" t="str">
        <f t="shared" si="7"/>
        <v/>
      </c>
    </row>
    <row r="265" spans="2:5" x14ac:dyDescent="0.25">
      <c r="B265" s="6" t="str">
        <f>IF(A265="","",'Cálculos y conversiones'!$B$14)</f>
        <v/>
      </c>
      <c r="C265" s="6" t="str">
        <f>IF(A265="","",'Cálculos y conversiones'!$B$11*Tabla!E264)</f>
        <v/>
      </c>
      <c r="D265" s="6" t="str">
        <f t="shared" si="6"/>
        <v/>
      </c>
      <c r="E265" s="6" t="str">
        <f t="shared" si="7"/>
        <v/>
      </c>
    </row>
    <row r="266" spans="2:5" x14ac:dyDescent="0.25">
      <c r="B266" s="6" t="str">
        <f>IF(A266="","",'Cálculos y conversiones'!$B$14)</f>
        <v/>
      </c>
      <c r="C266" s="6" t="str">
        <f>IF(A266="","",'Cálculos y conversiones'!$B$11*Tabla!E265)</f>
        <v/>
      </c>
      <c r="D266" s="6" t="str">
        <f t="shared" ref="D266:D329" si="8">IF(A266="","",B266-C266)</f>
        <v/>
      </c>
      <c r="E266" s="6" t="str">
        <f t="shared" ref="E266:E329" si="9">IF(A266="","",E265-D266)</f>
        <v/>
      </c>
    </row>
    <row r="267" spans="2:5" x14ac:dyDescent="0.25">
      <c r="B267" s="6" t="str">
        <f>IF(A267="","",'Cálculos y conversiones'!$B$14)</f>
        <v/>
      </c>
      <c r="C267" s="6" t="str">
        <f>IF(A267="","",'Cálculos y conversiones'!$B$11*Tabla!E266)</f>
        <v/>
      </c>
      <c r="D267" s="6" t="str">
        <f t="shared" si="8"/>
        <v/>
      </c>
      <c r="E267" s="6" t="str">
        <f t="shared" si="9"/>
        <v/>
      </c>
    </row>
    <row r="268" spans="2:5" x14ac:dyDescent="0.25">
      <c r="B268" s="6" t="str">
        <f>IF(A268="","",'Cálculos y conversiones'!$B$14)</f>
        <v/>
      </c>
      <c r="C268" s="6" t="str">
        <f>IF(A268="","",'Cálculos y conversiones'!$B$11*Tabla!E267)</f>
        <v/>
      </c>
      <c r="D268" s="6" t="str">
        <f t="shared" si="8"/>
        <v/>
      </c>
      <c r="E268" s="6" t="str">
        <f t="shared" si="9"/>
        <v/>
      </c>
    </row>
    <row r="269" spans="2:5" x14ac:dyDescent="0.25">
      <c r="B269" s="6" t="str">
        <f>IF(A269="","",'Cálculos y conversiones'!$B$14)</f>
        <v/>
      </c>
      <c r="C269" s="6" t="str">
        <f>IF(A269="","",'Cálculos y conversiones'!$B$11*Tabla!E268)</f>
        <v/>
      </c>
      <c r="D269" s="6" t="str">
        <f t="shared" si="8"/>
        <v/>
      </c>
      <c r="E269" s="6" t="str">
        <f t="shared" si="9"/>
        <v/>
      </c>
    </row>
    <row r="270" spans="2:5" x14ac:dyDescent="0.25">
      <c r="B270" s="6" t="str">
        <f>IF(A270="","",'Cálculos y conversiones'!$B$14)</f>
        <v/>
      </c>
      <c r="C270" s="6" t="str">
        <f>IF(A270="","",'Cálculos y conversiones'!$B$11*Tabla!E269)</f>
        <v/>
      </c>
      <c r="D270" s="6" t="str">
        <f t="shared" si="8"/>
        <v/>
      </c>
      <c r="E270" s="6" t="str">
        <f t="shared" si="9"/>
        <v/>
      </c>
    </row>
    <row r="271" spans="2:5" x14ac:dyDescent="0.25">
      <c r="B271" s="6" t="str">
        <f>IF(A271="","",'Cálculos y conversiones'!$B$14)</f>
        <v/>
      </c>
      <c r="C271" s="6" t="str">
        <f>IF(A271="","",'Cálculos y conversiones'!$B$11*Tabla!E270)</f>
        <v/>
      </c>
      <c r="D271" s="6" t="str">
        <f t="shared" si="8"/>
        <v/>
      </c>
      <c r="E271" s="6" t="str">
        <f t="shared" si="9"/>
        <v/>
      </c>
    </row>
    <row r="272" spans="2:5" x14ac:dyDescent="0.25">
      <c r="B272" s="6" t="str">
        <f>IF(A272="","",'Cálculos y conversiones'!$B$14)</f>
        <v/>
      </c>
      <c r="C272" s="6" t="str">
        <f>IF(A272="","",'Cálculos y conversiones'!$B$11*Tabla!E271)</f>
        <v/>
      </c>
      <c r="D272" s="6" t="str">
        <f t="shared" si="8"/>
        <v/>
      </c>
      <c r="E272" s="6" t="str">
        <f t="shared" si="9"/>
        <v/>
      </c>
    </row>
    <row r="273" spans="2:5" x14ac:dyDescent="0.25">
      <c r="B273" s="6" t="str">
        <f>IF(A273="","",'Cálculos y conversiones'!$B$14)</f>
        <v/>
      </c>
      <c r="C273" s="6" t="str">
        <f>IF(A273="","",'Cálculos y conversiones'!$B$11*Tabla!E272)</f>
        <v/>
      </c>
      <c r="D273" s="6" t="str">
        <f t="shared" si="8"/>
        <v/>
      </c>
      <c r="E273" s="6" t="str">
        <f t="shared" si="9"/>
        <v/>
      </c>
    </row>
    <row r="274" spans="2:5" x14ac:dyDescent="0.25">
      <c r="B274" s="6" t="str">
        <f>IF(A274="","",'Cálculos y conversiones'!$B$14)</f>
        <v/>
      </c>
      <c r="C274" s="6" t="str">
        <f>IF(A274="","",'Cálculos y conversiones'!$B$11*Tabla!E273)</f>
        <v/>
      </c>
      <c r="D274" s="6" t="str">
        <f t="shared" si="8"/>
        <v/>
      </c>
      <c r="E274" s="6" t="str">
        <f t="shared" si="9"/>
        <v/>
      </c>
    </row>
    <row r="275" spans="2:5" x14ac:dyDescent="0.25">
      <c r="B275" s="6" t="str">
        <f>IF(A275="","",'Cálculos y conversiones'!$B$14)</f>
        <v/>
      </c>
      <c r="C275" s="6" t="str">
        <f>IF(A275="","",'Cálculos y conversiones'!$B$11*Tabla!E274)</f>
        <v/>
      </c>
      <c r="D275" s="6" t="str">
        <f t="shared" si="8"/>
        <v/>
      </c>
      <c r="E275" s="6" t="str">
        <f t="shared" si="9"/>
        <v/>
      </c>
    </row>
    <row r="276" spans="2:5" x14ac:dyDescent="0.25">
      <c r="B276" s="6" t="str">
        <f>IF(A276="","",'Cálculos y conversiones'!$B$14)</f>
        <v/>
      </c>
      <c r="C276" s="6" t="str">
        <f>IF(A276="","",'Cálculos y conversiones'!$B$11*Tabla!E275)</f>
        <v/>
      </c>
      <c r="D276" s="6" t="str">
        <f t="shared" si="8"/>
        <v/>
      </c>
      <c r="E276" s="6" t="str">
        <f t="shared" si="9"/>
        <v/>
      </c>
    </row>
    <row r="277" spans="2:5" x14ac:dyDescent="0.25">
      <c r="B277" s="6" t="str">
        <f>IF(A277="","",'Cálculos y conversiones'!$B$14)</f>
        <v/>
      </c>
      <c r="C277" s="6" t="str">
        <f>IF(A277="","",'Cálculos y conversiones'!$B$11*Tabla!E276)</f>
        <v/>
      </c>
      <c r="D277" s="6" t="str">
        <f t="shared" si="8"/>
        <v/>
      </c>
      <c r="E277" s="6" t="str">
        <f t="shared" si="9"/>
        <v/>
      </c>
    </row>
    <row r="278" spans="2:5" x14ac:dyDescent="0.25">
      <c r="B278" s="6" t="str">
        <f>IF(A278="","",'Cálculos y conversiones'!$B$14)</f>
        <v/>
      </c>
      <c r="C278" s="6" t="str">
        <f>IF(A278="","",'Cálculos y conversiones'!$B$11*Tabla!E277)</f>
        <v/>
      </c>
      <c r="D278" s="6" t="str">
        <f t="shared" si="8"/>
        <v/>
      </c>
      <c r="E278" s="6" t="str">
        <f t="shared" si="9"/>
        <v/>
      </c>
    </row>
    <row r="279" spans="2:5" x14ac:dyDescent="0.25">
      <c r="B279" s="6" t="str">
        <f>IF(A279="","",'Cálculos y conversiones'!$B$14)</f>
        <v/>
      </c>
      <c r="C279" s="6" t="str">
        <f>IF(A279="","",'Cálculos y conversiones'!$B$11*Tabla!E278)</f>
        <v/>
      </c>
      <c r="D279" s="6" t="str">
        <f t="shared" si="8"/>
        <v/>
      </c>
      <c r="E279" s="6" t="str">
        <f t="shared" si="9"/>
        <v/>
      </c>
    </row>
    <row r="280" spans="2:5" x14ac:dyDescent="0.25">
      <c r="B280" s="6" t="str">
        <f>IF(A280="","",'Cálculos y conversiones'!$B$14)</f>
        <v/>
      </c>
      <c r="C280" s="6" t="str">
        <f>IF(A280="","",'Cálculos y conversiones'!$B$11*Tabla!E279)</f>
        <v/>
      </c>
      <c r="D280" s="6" t="str">
        <f t="shared" si="8"/>
        <v/>
      </c>
      <c r="E280" s="6" t="str">
        <f t="shared" si="9"/>
        <v/>
      </c>
    </row>
    <row r="281" spans="2:5" x14ac:dyDescent="0.25">
      <c r="B281" s="6" t="str">
        <f>IF(A281="","",'Cálculos y conversiones'!$B$14)</f>
        <v/>
      </c>
      <c r="C281" s="6" t="str">
        <f>IF(A281="","",'Cálculos y conversiones'!$B$11*Tabla!E280)</f>
        <v/>
      </c>
      <c r="D281" s="6" t="str">
        <f t="shared" si="8"/>
        <v/>
      </c>
      <c r="E281" s="6" t="str">
        <f t="shared" si="9"/>
        <v/>
      </c>
    </row>
    <row r="282" spans="2:5" x14ac:dyDescent="0.25">
      <c r="B282" s="6" t="str">
        <f>IF(A282="","",'Cálculos y conversiones'!$B$14)</f>
        <v/>
      </c>
      <c r="C282" s="6" t="str">
        <f>IF(A282="","",'Cálculos y conversiones'!$B$11*Tabla!E281)</f>
        <v/>
      </c>
      <c r="D282" s="6" t="str">
        <f t="shared" si="8"/>
        <v/>
      </c>
      <c r="E282" s="6" t="str">
        <f t="shared" si="9"/>
        <v/>
      </c>
    </row>
    <row r="283" spans="2:5" x14ac:dyDescent="0.25">
      <c r="B283" s="6" t="str">
        <f>IF(A283="","",'Cálculos y conversiones'!$B$14)</f>
        <v/>
      </c>
      <c r="C283" s="6" t="str">
        <f>IF(A283="","",'Cálculos y conversiones'!$B$11*Tabla!E282)</f>
        <v/>
      </c>
      <c r="D283" s="6" t="str">
        <f t="shared" si="8"/>
        <v/>
      </c>
      <c r="E283" s="6" t="str">
        <f t="shared" si="9"/>
        <v/>
      </c>
    </row>
    <row r="284" spans="2:5" x14ac:dyDescent="0.25">
      <c r="B284" s="6" t="str">
        <f>IF(A284="","",'Cálculos y conversiones'!$B$14)</f>
        <v/>
      </c>
      <c r="C284" s="6" t="str">
        <f>IF(A284="","",'Cálculos y conversiones'!$B$11*Tabla!E283)</f>
        <v/>
      </c>
      <c r="D284" s="6" t="str">
        <f t="shared" si="8"/>
        <v/>
      </c>
      <c r="E284" s="6" t="str">
        <f t="shared" si="9"/>
        <v/>
      </c>
    </row>
    <row r="285" spans="2:5" x14ac:dyDescent="0.25">
      <c r="B285" s="6" t="str">
        <f>IF(A285="","",'Cálculos y conversiones'!$B$14)</f>
        <v/>
      </c>
      <c r="C285" s="6" t="str">
        <f>IF(A285="","",'Cálculos y conversiones'!$B$11*Tabla!E284)</f>
        <v/>
      </c>
      <c r="D285" s="6" t="str">
        <f t="shared" si="8"/>
        <v/>
      </c>
      <c r="E285" s="6" t="str">
        <f t="shared" si="9"/>
        <v/>
      </c>
    </row>
    <row r="286" spans="2:5" x14ac:dyDescent="0.25">
      <c r="B286" s="6" t="str">
        <f>IF(A286="","",'Cálculos y conversiones'!$B$14)</f>
        <v/>
      </c>
      <c r="C286" s="6" t="str">
        <f>IF(A286="","",'Cálculos y conversiones'!$B$11*Tabla!E285)</f>
        <v/>
      </c>
      <c r="D286" s="6" t="str">
        <f t="shared" si="8"/>
        <v/>
      </c>
      <c r="E286" s="6" t="str">
        <f t="shared" si="9"/>
        <v/>
      </c>
    </row>
    <row r="287" spans="2:5" x14ac:dyDescent="0.25">
      <c r="B287" s="6" t="str">
        <f>IF(A287="","",'Cálculos y conversiones'!$B$14)</f>
        <v/>
      </c>
      <c r="C287" s="6" t="str">
        <f>IF(A287="","",'Cálculos y conversiones'!$B$11*Tabla!E286)</f>
        <v/>
      </c>
      <c r="D287" s="6" t="str">
        <f t="shared" si="8"/>
        <v/>
      </c>
      <c r="E287" s="6" t="str">
        <f t="shared" si="9"/>
        <v/>
      </c>
    </row>
    <row r="288" spans="2:5" x14ac:dyDescent="0.25">
      <c r="B288" s="6" t="str">
        <f>IF(A288="","",'Cálculos y conversiones'!$B$14)</f>
        <v/>
      </c>
      <c r="C288" s="6" t="str">
        <f>IF(A288="","",'Cálculos y conversiones'!$B$11*Tabla!E287)</f>
        <v/>
      </c>
      <c r="D288" s="6" t="str">
        <f t="shared" si="8"/>
        <v/>
      </c>
      <c r="E288" s="6" t="str">
        <f t="shared" si="9"/>
        <v/>
      </c>
    </row>
    <row r="289" spans="2:5" x14ac:dyDescent="0.25">
      <c r="B289" s="6" t="str">
        <f>IF(A289="","",'Cálculos y conversiones'!$B$14)</f>
        <v/>
      </c>
      <c r="C289" s="6" t="str">
        <f>IF(A289="","",'Cálculos y conversiones'!$B$11*Tabla!E288)</f>
        <v/>
      </c>
      <c r="D289" s="6" t="str">
        <f t="shared" si="8"/>
        <v/>
      </c>
      <c r="E289" s="6" t="str">
        <f t="shared" si="9"/>
        <v/>
      </c>
    </row>
    <row r="290" spans="2:5" x14ac:dyDescent="0.25">
      <c r="B290" s="6" t="str">
        <f>IF(A290="","",'Cálculos y conversiones'!$B$14)</f>
        <v/>
      </c>
      <c r="C290" s="6" t="str">
        <f>IF(A290="","",'Cálculos y conversiones'!$B$11*Tabla!E289)</f>
        <v/>
      </c>
      <c r="D290" s="6" t="str">
        <f t="shared" si="8"/>
        <v/>
      </c>
      <c r="E290" s="6" t="str">
        <f t="shared" si="9"/>
        <v/>
      </c>
    </row>
    <row r="291" spans="2:5" x14ac:dyDescent="0.25">
      <c r="B291" s="6" t="str">
        <f>IF(A291="","",'Cálculos y conversiones'!$B$14)</f>
        <v/>
      </c>
      <c r="C291" s="6" t="str">
        <f>IF(A291="","",'Cálculos y conversiones'!$B$11*Tabla!E290)</f>
        <v/>
      </c>
      <c r="D291" s="6" t="str">
        <f t="shared" si="8"/>
        <v/>
      </c>
      <c r="E291" s="6" t="str">
        <f t="shared" si="9"/>
        <v/>
      </c>
    </row>
    <row r="292" spans="2:5" x14ac:dyDescent="0.25">
      <c r="B292" s="6" t="str">
        <f>IF(A292="","",'Cálculos y conversiones'!$B$14)</f>
        <v/>
      </c>
      <c r="C292" s="6" t="str">
        <f>IF(A292="","",'Cálculos y conversiones'!$B$11*Tabla!E291)</f>
        <v/>
      </c>
      <c r="D292" s="6" t="str">
        <f t="shared" si="8"/>
        <v/>
      </c>
      <c r="E292" s="6" t="str">
        <f t="shared" si="9"/>
        <v/>
      </c>
    </row>
    <row r="293" spans="2:5" x14ac:dyDescent="0.25">
      <c r="B293" s="6" t="str">
        <f>IF(A293="","",'Cálculos y conversiones'!$B$14)</f>
        <v/>
      </c>
      <c r="C293" s="6" t="str">
        <f>IF(A293="","",'Cálculos y conversiones'!$B$11*Tabla!E292)</f>
        <v/>
      </c>
      <c r="D293" s="6" t="str">
        <f t="shared" si="8"/>
        <v/>
      </c>
      <c r="E293" s="6" t="str">
        <f t="shared" si="9"/>
        <v/>
      </c>
    </row>
    <row r="294" spans="2:5" x14ac:dyDescent="0.25">
      <c r="B294" s="6" t="str">
        <f>IF(A294="","",'Cálculos y conversiones'!$B$14)</f>
        <v/>
      </c>
      <c r="C294" s="6" t="str">
        <f>IF(A294="","",'Cálculos y conversiones'!$B$11*Tabla!E293)</f>
        <v/>
      </c>
      <c r="D294" s="6" t="str">
        <f t="shared" si="8"/>
        <v/>
      </c>
      <c r="E294" s="6" t="str">
        <f t="shared" si="9"/>
        <v/>
      </c>
    </row>
    <row r="295" spans="2:5" x14ac:dyDescent="0.25">
      <c r="B295" s="6" t="str">
        <f>IF(A295="","",'Cálculos y conversiones'!$B$14)</f>
        <v/>
      </c>
      <c r="C295" s="6" t="str">
        <f>IF(A295="","",'Cálculos y conversiones'!$B$11*Tabla!E294)</f>
        <v/>
      </c>
      <c r="D295" s="6" t="str">
        <f t="shared" si="8"/>
        <v/>
      </c>
      <c r="E295" s="6" t="str">
        <f t="shared" si="9"/>
        <v/>
      </c>
    </row>
    <row r="296" spans="2:5" x14ac:dyDescent="0.25">
      <c r="B296" s="6" t="str">
        <f>IF(A296="","",'Cálculos y conversiones'!$B$14)</f>
        <v/>
      </c>
      <c r="C296" s="6" t="str">
        <f>IF(A296="","",'Cálculos y conversiones'!$B$11*Tabla!E295)</f>
        <v/>
      </c>
      <c r="D296" s="6" t="str">
        <f t="shared" si="8"/>
        <v/>
      </c>
      <c r="E296" s="6" t="str">
        <f t="shared" si="9"/>
        <v/>
      </c>
    </row>
    <row r="297" spans="2:5" x14ac:dyDescent="0.25">
      <c r="B297" s="6" t="str">
        <f>IF(A297="","",'Cálculos y conversiones'!$B$14)</f>
        <v/>
      </c>
      <c r="C297" s="6" t="str">
        <f>IF(A297="","",'Cálculos y conversiones'!$B$11*Tabla!E296)</f>
        <v/>
      </c>
      <c r="D297" s="6" t="str">
        <f t="shared" si="8"/>
        <v/>
      </c>
      <c r="E297" s="6" t="str">
        <f t="shared" si="9"/>
        <v/>
      </c>
    </row>
    <row r="298" spans="2:5" x14ac:dyDescent="0.25">
      <c r="B298" s="6" t="str">
        <f>IF(A298="","",'Cálculos y conversiones'!$B$14)</f>
        <v/>
      </c>
      <c r="C298" s="6" t="str">
        <f>IF(A298="","",'Cálculos y conversiones'!$B$11*Tabla!E297)</f>
        <v/>
      </c>
      <c r="D298" s="6" t="str">
        <f t="shared" si="8"/>
        <v/>
      </c>
      <c r="E298" s="6" t="str">
        <f t="shared" si="9"/>
        <v/>
      </c>
    </row>
    <row r="299" spans="2:5" x14ac:dyDescent="0.25">
      <c r="B299" s="6" t="str">
        <f>IF(A299="","",'Cálculos y conversiones'!$B$14)</f>
        <v/>
      </c>
      <c r="C299" s="6" t="str">
        <f>IF(A299="","",'Cálculos y conversiones'!$B$11*Tabla!E298)</f>
        <v/>
      </c>
      <c r="D299" s="6" t="str">
        <f t="shared" si="8"/>
        <v/>
      </c>
      <c r="E299" s="6" t="str">
        <f t="shared" si="9"/>
        <v/>
      </c>
    </row>
    <row r="300" spans="2:5" x14ac:dyDescent="0.25">
      <c r="B300" s="6" t="str">
        <f>IF(A300="","",'Cálculos y conversiones'!$B$14)</f>
        <v/>
      </c>
      <c r="C300" s="6" t="str">
        <f>IF(A300="","",'Cálculos y conversiones'!$B$11*Tabla!E299)</f>
        <v/>
      </c>
      <c r="D300" s="6" t="str">
        <f t="shared" si="8"/>
        <v/>
      </c>
      <c r="E300" s="6" t="str">
        <f t="shared" si="9"/>
        <v/>
      </c>
    </row>
    <row r="301" spans="2:5" x14ac:dyDescent="0.25">
      <c r="B301" s="6" t="str">
        <f>IF(A301="","",'Cálculos y conversiones'!$B$14)</f>
        <v/>
      </c>
      <c r="C301" s="6" t="str">
        <f>IF(A301="","",'Cálculos y conversiones'!$B$11*Tabla!E300)</f>
        <v/>
      </c>
      <c r="D301" s="6" t="str">
        <f t="shared" si="8"/>
        <v/>
      </c>
      <c r="E301" s="6" t="str">
        <f t="shared" si="9"/>
        <v/>
      </c>
    </row>
    <row r="302" spans="2:5" x14ac:dyDescent="0.25">
      <c r="B302" s="6" t="str">
        <f>IF(A302="","",'Cálculos y conversiones'!$B$14)</f>
        <v/>
      </c>
      <c r="C302" s="6" t="str">
        <f>IF(A302="","",'Cálculos y conversiones'!$B$11*Tabla!E301)</f>
        <v/>
      </c>
      <c r="D302" s="6" t="str">
        <f t="shared" si="8"/>
        <v/>
      </c>
      <c r="E302" s="6" t="str">
        <f t="shared" si="9"/>
        <v/>
      </c>
    </row>
    <row r="303" spans="2:5" x14ac:dyDescent="0.25">
      <c r="B303" s="6" t="str">
        <f>IF(A303="","",'Cálculos y conversiones'!$B$14)</f>
        <v/>
      </c>
      <c r="C303" s="6" t="str">
        <f>IF(A303="","",'Cálculos y conversiones'!$B$11*Tabla!E302)</f>
        <v/>
      </c>
      <c r="D303" s="6" t="str">
        <f t="shared" si="8"/>
        <v/>
      </c>
      <c r="E303" s="6" t="str">
        <f t="shared" si="9"/>
        <v/>
      </c>
    </row>
    <row r="304" spans="2:5" x14ac:dyDescent="0.25">
      <c r="B304" s="6" t="str">
        <f>IF(A304="","",'Cálculos y conversiones'!$B$14)</f>
        <v/>
      </c>
      <c r="C304" s="6" t="str">
        <f>IF(A304="","",'Cálculos y conversiones'!$B$11*Tabla!E303)</f>
        <v/>
      </c>
      <c r="D304" s="6" t="str">
        <f t="shared" si="8"/>
        <v/>
      </c>
      <c r="E304" s="6" t="str">
        <f t="shared" si="9"/>
        <v/>
      </c>
    </row>
    <row r="305" spans="2:5" x14ac:dyDescent="0.25">
      <c r="B305" s="6" t="str">
        <f>IF(A305="","",'Cálculos y conversiones'!$B$14)</f>
        <v/>
      </c>
      <c r="C305" s="6" t="str">
        <f>IF(A305="","",'Cálculos y conversiones'!$B$11*Tabla!E304)</f>
        <v/>
      </c>
      <c r="D305" s="6" t="str">
        <f t="shared" si="8"/>
        <v/>
      </c>
      <c r="E305" s="6" t="str">
        <f t="shared" si="9"/>
        <v/>
      </c>
    </row>
    <row r="306" spans="2:5" x14ac:dyDescent="0.25">
      <c r="B306" s="6" t="str">
        <f>IF(A306="","",'Cálculos y conversiones'!$B$14)</f>
        <v/>
      </c>
      <c r="C306" s="6" t="str">
        <f>IF(A306="","",'Cálculos y conversiones'!$B$11*Tabla!E305)</f>
        <v/>
      </c>
      <c r="D306" s="6" t="str">
        <f t="shared" si="8"/>
        <v/>
      </c>
      <c r="E306" s="6" t="str">
        <f t="shared" si="9"/>
        <v/>
      </c>
    </row>
    <row r="307" spans="2:5" x14ac:dyDescent="0.25">
      <c r="B307" s="6" t="str">
        <f>IF(A307="","",'Cálculos y conversiones'!$B$14)</f>
        <v/>
      </c>
      <c r="C307" s="6" t="str">
        <f>IF(A307="","",'Cálculos y conversiones'!$B$11*Tabla!E306)</f>
        <v/>
      </c>
      <c r="D307" s="6" t="str">
        <f t="shared" si="8"/>
        <v/>
      </c>
      <c r="E307" s="6" t="str">
        <f t="shared" si="9"/>
        <v/>
      </c>
    </row>
    <row r="308" spans="2:5" x14ac:dyDescent="0.25">
      <c r="B308" s="6" t="str">
        <f>IF(A308="","",'Cálculos y conversiones'!$B$14)</f>
        <v/>
      </c>
      <c r="C308" s="6" t="str">
        <f>IF(A308="","",'Cálculos y conversiones'!$B$11*Tabla!E307)</f>
        <v/>
      </c>
      <c r="D308" s="6" t="str">
        <f t="shared" si="8"/>
        <v/>
      </c>
      <c r="E308" s="6" t="str">
        <f t="shared" si="9"/>
        <v/>
      </c>
    </row>
    <row r="309" spans="2:5" x14ac:dyDescent="0.25">
      <c r="B309" s="6" t="str">
        <f>IF(A309="","",'Cálculos y conversiones'!$B$14)</f>
        <v/>
      </c>
      <c r="C309" s="6" t="str">
        <f>IF(A309="","",'Cálculos y conversiones'!$B$11*Tabla!E308)</f>
        <v/>
      </c>
      <c r="D309" s="6" t="str">
        <f t="shared" si="8"/>
        <v/>
      </c>
      <c r="E309" s="6" t="str">
        <f t="shared" si="9"/>
        <v/>
      </c>
    </row>
    <row r="310" spans="2:5" x14ac:dyDescent="0.25">
      <c r="B310" s="6" t="str">
        <f>IF(A310="","",'Cálculos y conversiones'!$B$14)</f>
        <v/>
      </c>
      <c r="C310" s="6" t="str">
        <f>IF(A310="","",'Cálculos y conversiones'!$B$11*Tabla!E309)</f>
        <v/>
      </c>
      <c r="D310" s="6" t="str">
        <f t="shared" si="8"/>
        <v/>
      </c>
      <c r="E310" s="6" t="str">
        <f t="shared" si="9"/>
        <v/>
      </c>
    </row>
    <row r="311" spans="2:5" x14ac:dyDescent="0.25">
      <c r="B311" s="6" t="str">
        <f>IF(A311="","",'Cálculos y conversiones'!$B$14)</f>
        <v/>
      </c>
      <c r="C311" s="6" t="str">
        <f>IF(A311="","",'Cálculos y conversiones'!$B$11*Tabla!E310)</f>
        <v/>
      </c>
      <c r="D311" s="6" t="str">
        <f t="shared" si="8"/>
        <v/>
      </c>
      <c r="E311" s="6" t="str">
        <f t="shared" si="9"/>
        <v/>
      </c>
    </row>
    <row r="312" spans="2:5" x14ac:dyDescent="0.25">
      <c r="B312" s="6" t="str">
        <f>IF(A312="","",'Cálculos y conversiones'!$B$14)</f>
        <v/>
      </c>
      <c r="C312" s="6" t="str">
        <f>IF(A312="","",'Cálculos y conversiones'!$B$11*Tabla!E311)</f>
        <v/>
      </c>
      <c r="D312" s="6" t="str">
        <f t="shared" si="8"/>
        <v/>
      </c>
      <c r="E312" s="6" t="str">
        <f t="shared" si="9"/>
        <v/>
      </c>
    </row>
    <row r="313" spans="2:5" x14ac:dyDescent="0.25">
      <c r="B313" s="6" t="str">
        <f>IF(A313="","",'Cálculos y conversiones'!$B$14)</f>
        <v/>
      </c>
      <c r="C313" s="6" t="str">
        <f>IF(A313="","",'Cálculos y conversiones'!$B$11*Tabla!E312)</f>
        <v/>
      </c>
      <c r="D313" s="6" t="str">
        <f t="shared" si="8"/>
        <v/>
      </c>
      <c r="E313" s="6" t="str">
        <f t="shared" si="9"/>
        <v/>
      </c>
    </row>
    <row r="314" spans="2:5" x14ac:dyDescent="0.25">
      <c r="B314" s="6" t="str">
        <f>IF(A314="","",'Cálculos y conversiones'!$B$14)</f>
        <v/>
      </c>
      <c r="C314" s="6" t="str">
        <f>IF(A314="","",'Cálculos y conversiones'!$B$11*Tabla!E313)</f>
        <v/>
      </c>
      <c r="D314" s="6" t="str">
        <f t="shared" si="8"/>
        <v/>
      </c>
      <c r="E314" s="6" t="str">
        <f t="shared" si="9"/>
        <v/>
      </c>
    </row>
    <row r="315" spans="2:5" x14ac:dyDescent="0.25">
      <c r="B315" s="6" t="str">
        <f>IF(A315="","",'Cálculos y conversiones'!$B$14)</f>
        <v/>
      </c>
      <c r="C315" s="6" t="str">
        <f>IF(A315="","",'Cálculos y conversiones'!$B$11*Tabla!E314)</f>
        <v/>
      </c>
      <c r="D315" s="6" t="str">
        <f t="shared" si="8"/>
        <v/>
      </c>
      <c r="E315" s="6" t="str">
        <f t="shared" si="9"/>
        <v/>
      </c>
    </row>
    <row r="316" spans="2:5" x14ac:dyDescent="0.25">
      <c r="B316" s="6" t="str">
        <f>IF(A316="","",'Cálculos y conversiones'!$B$14)</f>
        <v/>
      </c>
      <c r="C316" s="6" t="str">
        <f>IF(A316="","",'Cálculos y conversiones'!$B$11*Tabla!E315)</f>
        <v/>
      </c>
      <c r="D316" s="6" t="str">
        <f t="shared" si="8"/>
        <v/>
      </c>
      <c r="E316" s="6" t="str">
        <f t="shared" si="9"/>
        <v/>
      </c>
    </row>
    <row r="317" spans="2:5" x14ac:dyDescent="0.25">
      <c r="B317" s="6" t="str">
        <f>IF(A317="","",'Cálculos y conversiones'!$B$14)</f>
        <v/>
      </c>
      <c r="C317" s="6" t="str">
        <f>IF(A317="","",'Cálculos y conversiones'!$B$11*Tabla!E316)</f>
        <v/>
      </c>
      <c r="D317" s="6" t="str">
        <f t="shared" si="8"/>
        <v/>
      </c>
      <c r="E317" s="6" t="str">
        <f t="shared" si="9"/>
        <v/>
      </c>
    </row>
    <row r="318" spans="2:5" x14ac:dyDescent="0.25">
      <c r="B318" s="6" t="str">
        <f>IF(A318="","",'Cálculos y conversiones'!$B$14)</f>
        <v/>
      </c>
      <c r="C318" s="6" t="str">
        <f>IF(A318="","",'Cálculos y conversiones'!$B$11*Tabla!E317)</f>
        <v/>
      </c>
      <c r="D318" s="6" t="str">
        <f t="shared" si="8"/>
        <v/>
      </c>
      <c r="E318" s="6" t="str">
        <f t="shared" si="9"/>
        <v/>
      </c>
    </row>
    <row r="319" spans="2:5" x14ac:dyDescent="0.25">
      <c r="B319" s="6" t="str">
        <f>IF(A319="","",'Cálculos y conversiones'!$B$14)</f>
        <v/>
      </c>
      <c r="C319" s="6" t="str">
        <f>IF(A319="","",'Cálculos y conversiones'!$B$11*Tabla!E318)</f>
        <v/>
      </c>
      <c r="D319" s="6" t="str">
        <f t="shared" si="8"/>
        <v/>
      </c>
      <c r="E319" s="6" t="str">
        <f t="shared" si="9"/>
        <v/>
      </c>
    </row>
    <row r="320" spans="2:5" x14ac:dyDescent="0.25">
      <c r="B320" s="6" t="str">
        <f>IF(A320="","",'Cálculos y conversiones'!$B$14)</f>
        <v/>
      </c>
      <c r="C320" s="6" t="str">
        <f>IF(A320="","",'Cálculos y conversiones'!$B$11*Tabla!E319)</f>
        <v/>
      </c>
      <c r="D320" s="6" t="str">
        <f t="shared" si="8"/>
        <v/>
      </c>
      <c r="E320" s="6" t="str">
        <f t="shared" si="9"/>
        <v/>
      </c>
    </row>
    <row r="321" spans="2:5" x14ac:dyDescent="0.25">
      <c r="B321" s="6" t="str">
        <f>IF(A321="","",'Cálculos y conversiones'!$B$14)</f>
        <v/>
      </c>
      <c r="C321" s="6" t="str">
        <f>IF(A321="","",'Cálculos y conversiones'!$B$11*Tabla!E320)</f>
        <v/>
      </c>
      <c r="D321" s="6" t="str">
        <f t="shared" si="8"/>
        <v/>
      </c>
      <c r="E321" s="6" t="str">
        <f t="shared" si="9"/>
        <v/>
      </c>
    </row>
    <row r="322" spans="2:5" x14ac:dyDescent="0.25">
      <c r="B322" s="6" t="str">
        <f>IF(A322="","",'Cálculos y conversiones'!$B$14)</f>
        <v/>
      </c>
      <c r="C322" s="6" t="str">
        <f>IF(A322="","",'Cálculos y conversiones'!$B$11*Tabla!E321)</f>
        <v/>
      </c>
      <c r="D322" s="6" t="str">
        <f t="shared" si="8"/>
        <v/>
      </c>
      <c r="E322" s="6" t="str">
        <f t="shared" si="9"/>
        <v/>
      </c>
    </row>
    <row r="323" spans="2:5" x14ac:dyDescent="0.25">
      <c r="B323" s="6" t="str">
        <f>IF(A323="","",'Cálculos y conversiones'!$B$14)</f>
        <v/>
      </c>
      <c r="C323" s="6" t="str">
        <f>IF(A323="","",'Cálculos y conversiones'!$B$11*Tabla!E322)</f>
        <v/>
      </c>
      <c r="D323" s="6" t="str">
        <f t="shared" si="8"/>
        <v/>
      </c>
      <c r="E323" s="6" t="str">
        <f t="shared" si="9"/>
        <v/>
      </c>
    </row>
    <row r="324" spans="2:5" x14ac:dyDescent="0.25">
      <c r="B324" s="6" t="str">
        <f>IF(A324="","",'Cálculos y conversiones'!$B$14)</f>
        <v/>
      </c>
      <c r="C324" s="6" t="str">
        <f>IF(A324="","",'Cálculos y conversiones'!$B$11*Tabla!E323)</f>
        <v/>
      </c>
      <c r="D324" s="6" t="str">
        <f t="shared" si="8"/>
        <v/>
      </c>
      <c r="E324" s="6" t="str">
        <f t="shared" si="9"/>
        <v/>
      </c>
    </row>
    <row r="325" spans="2:5" x14ac:dyDescent="0.25">
      <c r="B325" s="6" t="str">
        <f>IF(A325="","",'Cálculos y conversiones'!$B$14)</f>
        <v/>
      </c>
      <c r="C325" s="6" t="str">
        <f>IF(A325="","",'Cálculos y conversiones'!$B$11*Tabla!E324)</f>
        <v/>
      </c>
      <c r="D325" s="6" t="str">
        <f t="shared" si="8"/>
        <v/>
      </c>
      <c r="E325" s="6" t="str">
        <f t="shared" si="9"/>
        <v/>
      </c>
    </row>
    <row r="326" spans="2:5" x14ac:dyDescent="0.25">
      <c r="B326" s="6" t="str">
        <f>IF(A326="","",'Cálculos y conversiones'!$B$14)</f>
        <v/>
      </c>
      <c r="C326" s="6" t="str">
        <f>IF(A326="","",'Cálculos y conversiones'!$B$11*Tabla!E325)</f>
        <v/>
      </c>
      <c r="D326" s="6" t="str">
        <f t="shared" si="8"/>
        <v/>
      </c>
      <c r="E326" s="6" t="str">
        <f t="shared" si="9"/>
        <v/>
      </c>
    </row>
    <row r="327" spans="2:5" x14ac:dyDescent="0.25">
      <c r="B327" s="6" t="str">
        <f>IF(A327="","",'Cálculos y conversiones'!$B$14)</f>
        <v/>
      </c>
      <c r="C327" s="6" t="str">
        <f>IF(A327="","",'Cálculos y conversiones'!$B$11*Tabla!E326)</f>
        <v/>
      </c>
      <c r="D327" s="6" t="str">
        <f t="shared" si="8"/>
        <v/>
      </c>
      <c r="E327" s="6" t="str">
        <f t="shared" si="9"/>
        <v/>
      </c>
    </row>
    <row r="328" spans="2:5" x14ac:dyDescent="0.25">
      <c r="B328" s="6" t="str">
        <f>IF(A328="","",'Cálculos y conversiones'!$B$14)</f>
        <v/>
      </c>
      <c r="C328" s="6" t="str">
        <f>IF(A328="","",'Cálculos y conversiones'!$B$11*Tabla!E327)</f>
        <v/>
      </c>
      <c r="D328" s="6" t="str">
        <f t="shared" si="8"/>
        <v/>
      </c>
      <c r="E328" s="6" t="str">
        <f t="shared" si="9"/>
        <v/>
      </c>
    </row>
    <row r="329" spans="2:5" x14ac:dyDescent="0.25">
      <c r="B329" s="6" t="str">
        <f>IF(A329="","",'Cálculos y conversiones'!$B$14)</f>
        <v/>
      </c>
      <c r="C329" s="6" t="str">
        <f>IF(A329="","",'Cálculos y conversiones'!$B$11*Tabla!E328)</f>
        <v/>
      </c>
      <c r="D329" s="6" t="str">
        <f t="shared" si="8"/>
        <v/>
      </c>
      <c r="E329" s="6" t="str">
        <f t="shared" si="9"/>
        <v/>
      </c>
    </row>
    <row r="330" spans="2:5" x14ac:dyDescent="0.25">
      <c r="B330" s="6" t="str">
        <f>IF(A330="","",'Cálculos y conversiones'!$B$14)</f>
        <v/>
      </c>
      <c r="C330" s="6" t="str">
        <f>IF(A330="","",'Cálculos y conversiones'!$B$11*Tabla!E329)</f>
        <v/>
      </c>
      <c r="D330" s="6" t="str">
        <f t="shared" ref="D330:D393" si="10">IF(A330="","",B330-C330)</f>
        <v/>
      </c>
      <c r="E330" s="6" t="str">
        <f t="shared" ref="E330:E393" si="11">IF(A330="","",E329-D330)</f>
        <v/>
      </c>
    </row>
    <row r="331" spans="2:5" x14ac:dyDescent="0.25">
      <c r="B331" s="6" t="str">
        <f>IF(A331="","",'Cálculos y conversiones'!$B$14)</f>
        <v/>
      </c>
      <c r="C331" s="6" t="str">
        <f>IF(A331="","",'Cálculos y conversiones'!$B$11*Tabla!E330)</f>
        <v/>
      </c>
      <c r="D331" s="6" t="str">
        <f t="shared" si="10"/>
        <v/>
      </c>
      <c r="E331" s="6" t="str">
        <f t="shared" si="11"/>
        <v/>
      </c>
    </row>
    <row r="332" spans="2:5" x14ac:dyDescent="0.25">
      <c r="B332" s="6" t="str">
        <f>IF(A332="","",'Cálculos y conversiones'!$B$14)</f>
        <v/>
      </c>
      <c r="C332" s="6" t="str">
        <f>IF(A332="","",'Cálculos y conversiones'!$B$11*Tabla!E331)</f>
        <v/>
      </c>
      <c r="D332" s="6" t="str">
        <f t="shared" si="10"/>
        <v/>
      </c>
      <c r="E332" s="6" t="str">
        <f t="shared" si="11"/>
        <v/>
      </c>
    </row>
    <row r="333" spans="2:5" x14ac:dyDescent="0.25">
      <c r="B333" s="6" t="str">
        <f>IF(A333="","",'Cálculos y conversiones'!$B$14)</f>
        <v/>
      </c>
      <c r="C333" s="6" t="str">
        <f>IF(A333="","",'Cálculos y conversiones'!$B$11*Tabla!E332)</f>
        <v/>
      </c>
      <c r="D333" s="6" t="str">
        <f t="shared" si="10"/>
        <v/>
      </c>
      <c r="E333" s="6" t="str">
        <f t="shared" si="11"/>
        <v/>
      </c>
    </row>
    <row r="334" spans="2:5" x14ac:dyDescent="0.25">
      <c r="B334" s="6" t="str">
        <f>IF(A334="","",'Cálculos y conversiones'!$B$14)</f>
        <v/>
      </c>
      <c r="C334" s="6" t="str">
        <f>IF(A334="","",'Cálculos y conversiones'!$B$11*Tabla!E333)</f>
        <v/>
      </c>
      <c r="D334" s="6" t="str">
        <f t="shared" si="10"/>
        <v/>
      </c>
      <c r="E334" s="6" t="str">
        <f t="shared" si="11"/>
        <v/>
      </c>
    </row>
    <row r="335" spans="2:5" x14ac:dyDescent="0.25">
      <c r="B335" s="6" t="str">
        <f>IF(A335="","",'Cálculos y conversiones'!$B$14)</f>
        <v/>
      </c>
      <c r="C335" s="6" t="str">
        <f>IF(A335="","",'Cálculos y conversiones'!$B$11*Tabla!E334)</f>
        <v/>
      </c>
      <c r="D335" s="6" t="str">
        <f t="shared" si="10"/>
        <v/>
      </c>
      <c r="E335" s="6" t="str">
        <f t="shared" si="11"/>
        <v/>
      </c>
    </row>
    <row r="336" spans="2:5" x14ac:dyDescent="0.25">
      <c r="B336" s="6" t="str">
        <f>IF(A336="","",'Cálculos y conversiones'!$B$14)</f>
        <v/>
      </c>
      <c r="C336" s="6" t="str">
        <f>IF(A336="","",'Cálculos y conversiones'!$B$11*Tabla!E335)</f>
        <v/>
      </c>
      <c r="D336" s="6" t="str">
        <f t="shared" si="10"/>
        <v/>
      </c>
      <c r="E336" s="6" t="str">
        <f t="shared" si="11"/>
        <v/>
      </c>
    </row>
    <row r="337" spans="2:5" x14ac:dyDescent="0.25">
      <c r="B337" s="6" t="str">
        <f>IF(A337="","",'Cálculos y conversiones'!$B$14)</f>
        <v/>
      </c>
      <c r="C337" s="6" t="str">
        <f>IF(A337="","",'Cálculos y conversiones'!$B$11*Tabla!E336)</f>
        <v/>
      </c>
      <c r="D337" s="6" t="str">
        <f t="shared" si="10"/>
        <v/>
      </c>
      <c r="E337" s="6" t="str">
        <f t="shared" si="11"/>
        <v/>
      </c>
    </row>
    <row r="338" spans="2:5" x14ac:dyDescent="0.25">
      <c r="B338" s="6" t="str">
        <f>IF(A338="","",'Cálculos y conversiones'!$B$14)</f>
        <v/>
      </c>
      <c r="C338" s="6" t="str">
        <f>IF(A338="","",'Cálculos y conversiones'!$B$11*Tabla!E337)</f>
        <v/>
      </c>
      <c r="D338" s="6" t="str">
        <f t="shared" si="10"/>
        <v/>
      </c>
      <c r="E338" s="6" t="str">
        <f t="shared" si="11"/>
        <v/>
      </c>
    </row>
    <row r="339" spans="2:5" x14ac:dyDescent="0.25">
      <c r="B339" s="6" t="str">
        <f>IF(A339="","",'Cálculos y conversiones'!$B$14)</f>
        <v/>
      </c>
      <c r="C339" s="6" t="str">
        <f>IF(A339="","",'Cálculos y conversiones'!$B$11*Tabla!E338)</f>
        <v/>
      </c>
      <c r="D339" s="6" t="str">
        <f t="shared" si="10"/>
        <v/>
      </c>
      <c r="E339" s="6" t="str">
        <f t="shared" si="11"/>
        <v/>
      </c>
    </row>
    <row r="340" spans="2:5" x14ac:dyDescent="0.25">
      <c r="B340" s="6" t="str">
        <f>IF(A340="","",'Cálculos y conversiones'!$B$14)</f>
        <v/>
      </c>
      <c r="C340" s="6" t="str">
        <f>IF(A340="","",'Cálculos y conversiones'!$B$11*Tabla!E339)</f>
        <v/>
      </c>
      <c r="D340" s="6" t="str">
        <f t="shared" si="10"/>
        <v/>
      </c>
      <c r="E340" s="6" t="str">
        <f t="shared" si="11"/>
        <v/>
      </c>
    </row>
    <row r="341" spans="2:5" x14ac:dyDescent="0.25">
      <c r="B341" s="6" t="str">
        <f>IF(A341="","",'Cálculos y conversiones'!$B$14)</f>
        <v/>
      </c>
      <c r="C341" s="6" t="str">
        <f>IF(A341="","",'Cálculos y conversiones'!$B$11*Tabla!E340)</f>
        <v/>
      </c>
      <c r="D341" s="6" t="str">
        <f t="shared" si="10"/>
        <v/>
      </c>
      <c r="E341" s="6" t="str">
        <f t="shared" si="11"/>
        <v/>
      </c>
    </row>
    <row r="342" spans="2:5" x14ac:dyDescent="0.25">
      <c r="B342" s="6" t="str">
        <f>IF(A342="","",'Cálculos y conversiones'!$B$14)</f>
        <v/>
      </c>
      <c r="C342" s="6" t="str">
        <f>IF(A342="","",'Cálculos y conversiones'!$B$11*Tabla!E341)</f>
        <v/>
      </c>
      <c r="D342" s="6" t="str">
        <f t="shared" si="10"/>
        <v/>
      </c>
      <c r="E342" s="6" t="str">
        <f t="shared" si="11"/>
        <v/>
      </c>
    </row>
    <row r="343" spans="2:5" x14ac:dyDescent="0.25">
      <c r="B343" s="6" t="str">
        <f>IF(A343="","",'Cálculos y conversiones'!$B$14)</f>
        <v/>
      </c>
      <c r="C343" s="6" t="str">
        <f>IF(A343="","",'Cálculos y conversiones'!$B$11*Tabla!E342)</f>
        <v/>
      </c>
      <c r="D343" s="6" t="str">
        <f t="shared" si="10"/>
        <v/>
      </c>
      <c r="E343" s="6" t="str">
        <f t="shared" si="11"/>
        <v/>
      </c>
    </row>
    <row r="344" spans="2:5" x14ac:dyDescent="0.25">
      <c r="B344" s="6" t="str">
        <f>IF(A344="","",'Cálculos y conversiones'!$B$14)</f>
        <v/>
      </c>
      <c r="C344" s="6" t="str">
        <f>IF(A344="","",'Cálculos y conversiones'!$B$11*Tabla!E343)</f>
        <v/>
      </c>
      <c r="D344" s="6" t="str">
        <f t="shared" si="10"/>
        <v/>
      </c>
      <c r="E344" s="6" t="str">
        <f t="shared" si="11"/>
        <v/>
      </c>
    </row>
    <row r="345" spans="2:5" x14ac:dyDescent="0.25">
      <c r="B345" s="6" t="str">
        <f>IF(A345="","",'Cálculos y conversiones'!$B$14)</f>
        <v/>
      </c>
      <c r="C345" s="6" t="str">
        <f>IF(A345="","",'Cálculos y conversiones'!$B$11*Tabla!E344)</f>
        <v/>
      </c>
      <c r="D345" s="6" t="str">
        <f t="shared" si="10"/>
        <v/>
      </c>
      <c r="E345" s="6" t="str">
        <f t="shared" si="11"/>
        <v/>
      </c>
    </row>
    <row r="346" spans="2:5" x14ac:dyDescent="0.25">
      <c r="B346" s="6" t="str">
        <f>IF(A346="","",'Cálculos y conversiones'!$B$14)</f>
        <v/>
      </c>
      <c r="C346" s="6" t="str">
        <f>IF(A346="","",'Cálculos y conversiones'!$B$11*Tabla!E345)</f>
        <v/>
      </c>
      <c r="D346" s="6" t="str">
        <f t="shared" si="10"/>
        <v/>
      </c>
      <c r="E346" s="6" t="str">
        <f t="shared" si="11"/>
        <v/>
      </c>
    </row>
    <row r="347" spans="2:5" x14ac:dyDescent="0.25">
      <c r="B347" s="6" t="str">
        <f>IF(A347="","",'Cálculos y conversiones'!$B$14)</f>
        <v/>
      </c>
      <c r="C347" s="6" t="str">
        <f>IF(A347="","",'Cálculos y conversiones'!$B$11*Tabla!E346)</f>
        <v/>
      </c>
      <c r="D347" s="6" t="str">
        <f t="shared" si="10"/>
        <v/>
      </c>
      <c r="E347" s="6" t="str">
        <f t="shared" si="11"/>
        <v/>
      </c>
    </row>
    <row r="348" spans="2:5" x14ac:dyDescent="0.25">
      <c r="B348" s="6" t="str">
        <f>IF(A348="","",'Cálculos y conversiones'!$B$14)</f>
        <v/>
      </c>
      <c r="C348" s="6" t="str">
        <f>IF(A348="","",'Cálculos y conversiones'!$B$11*Tabla!E347)</f>
        <v/>
      </c>
      <c r="D348" s="6" t="str">
        <f t="shared" si="10"/>
        <v/>
      </c>
      <c r="E348" s="6" t="str">
        <f t="shared" si="11"/>
        <v/>
      </c>
    </row>
    <row r="349" spans="2:5" x14ac:dyDescent="0.25">
      <c r="B349" s="6" t="str">
        <f>IF(A349="","",'Cálculos y conversiones'!$B$14)</f>
        <v/>
      </c>
      <c r="C349" s="6" t="str">
        <f>IF(A349="","",'Cálculos y conversiones'!$B$11*Tabla!E348)</f>
        <v/>
      </c>
      <c r="D349" s="6" t="str">
        <f t="shared" si="10"/>
        <v/>
      </c>
      <c r="E349" s="6" t="str">
        <f t="shared" si="11"/>
        <v/>
      </c>
    </row>
    <row r="350" spans="2:5" x14ac:dyDescent="0.25">
      <c r="B350" s="6" t="str">
        <f>IF(A350="","",'Cálculos y conversiones'!$B$14)</f>
        <v/>
      </c>
      <c r="C350" s="6" t="str">
        <f>IF(A350="","",'Cálculos y conversiones'!$B$11*Tabla!E349)</f>
        <v/>
      </c>
      <c r="D350" s="6" t="str">
        <f t="shared" si="10"/>
        <v/>
      </c>
      <c r="E350" s="6" t="str">
        <f t="shared" si="11"/>
        <v/>
      </c>
    </row>
    <row r="351" spans="2:5" x14ac:dyDescent="0.25">
      <c r="B351" s="6" t="str">
        <f>IF(A351="","",'Cálculos y conversiones'!$B$14)</f>
        <v/>
      </c>
      <c r="C351" s="6" t="str">
        <f>IF(A351="","",'Cálculos y conversiones'!$B$11*Tabla!E350)</f>
        <v/>
      </c>
      <c r="D351" s="6" t="str">
        <f t="shared" si="10"/>
        <v/>
      </c>
      <c r="E351" s="6" t="str">
        <f t="shared" si="11"/>
        <v/>
      </c>
    </row>
    <row r="352" spans="2:5" x14ac:dyDescent="0.25">
      <c r="B352" s="6" t="str">
        <f>IF(A352="","",'Cálculos y conversiones'!$B$14)</f>
        <v/>
      </c>
      <c r="C352" s="6" t="str">
        <f>IF(A352="","",'Cálculos y conversiones'!$B$11*Tabla!E351)</f>
        <v/>
      </c>
      <c r="D352" s="6" t="str">
        <f t="shared" si="10"/>
        <v/>
      </c>
      <c r="E352" s="6" t="str">
        <f t="shared" si="11"/>
        <v/>
      </c>
    </row>
    <row r="353" spans="2:5" x14ac:dyDescent="0.25">
      <c r="B353" s="6" t="str">
        <f>IF(A353="","",'Cálculos y conversiones'!$B$14)</f>
        <v/>
      </c>
      <c r="C353" s="6" t="str">
        <f>IF(A353="","",'Cálculos y conversiones'!$B$11*Tabla!E352)</f>
        <v/>
      </c>
      <c r="D353" s="6" t="str">
        <f t="shared" si="10"/>
        <v/>
      </c>
      <c r="E353" s="6" t="str">
        <f t="shared" si="11"/>
        <v/>
      </c>
    </row>
    <row r="354" spans="2:5" x14ac:dyDescent="0.25">
      <c r="B354" s="6" t="str">
        <f>IF(A354="","",'Cálculos y conversiones'!$B$14)</f>
        <v/>
      </c>
      <c r="C354" s="6" t="str">
        <f>IF(A354="","",'Cálculos y conversiones'!$B$11*Tabla!E353)</f>
        <v/>
      </c>
      <c r="D354" s="6" t="str">
        <f t="shared" si="10"/>
        <v/>
      </c>
      <c r="E354" s="6" t="str">
        <f t="shared" si="11"/>
        <v/>
      </c>
    </row>
    <row r="355" spans="2:5" x14ac:dyDescent="0.25">
      <c r="B355" s="6" t="str">
        <f>IF(A355="","",'Cálculos y conversiones'!$B$14)</f>
        <v/>
      </c>
      <c r="C355" s="6" t="str">
        <f>IF(A355="","",'Cálculos y conversiones'!$B$11*Tabla!E354)</f>
        <v/>
      </c>
      <c r="D355" s="6" t="str">
        <f t="shared" si="10"/>
        <v/>
      </c>
      <c r="E355" s="6" t="str">
        <f t="shared" si="11"/>
        <v/>
      </c>
    </row>
    <row r="356" spans="2:5" x14ac:dyDescent="0.25">
      <c r="B356" s="6" t="str">
        <f>IF(A356="","",'Cálculos y conversiones'!$B$14)</f>
        <v/>
      </c>
      <c r="C356" s="6" t="str">
        <f>IF(A356="","",'Cálculos y conversiones'!$B$11*Tabla!E355)</f>
        <v/>
      </c>
      <c r="D356" s="6" t="str">
        <f t="shared" si="10"/>
        <v/>
      </c>
      <c r="E356" s="6" t="str">
        <f t="shared" si="11"/>
        <v/>
      </c>
    </row>
    <row r="357" spans="2:5" x14ac:dyDescent="0.25">
      <c r="B357" s="6" t="str">
        <f>IF(A357="","",'Cálculos y conversiones'!$B$14)</f>
        <v/>
      </c>
      <c r="C357" s="6" t="str">
        <f>IF(A357="","",'Cálculos y conversiones'!$B$11*Tabla!E356)</f>
        <v/>
      </c>
      <c r="D357" s="6" t="str">
        <f t="shared" si="10"/>
        <v/>
      </c>
      <c r="E357" s="6" t="str">
        <f t="shared" si="11"/>
        <v/>
      </c>
    </row>
    <row r="358" spans="2:5" x14ac:dyDescent="0.25">
      <c r="B358" s="6" t="str">
        <f>IF(A358="","",'Cálculos y conversiones'!$B$14)</f>
        <v/>
      </c>
      <c r="C358" s="6" t="str">
        <f>IF(A358="","",'Cálculos y conversiones'!$B$11*Tabla!E357)</f>
        <v/>
      </c>
      <c r="D358" s="6" t="str">
        <f t="shared" si="10"/>
        <v/>
      </c>
      <c r="E358" s="6" t="str">
        <f t="shared" si="11"/>
        <v/>
      </c>
    </row>
    <row r="359" spans="2:5" x14ac:dyDescent="0.25">
      <c r="B359" s="6" t="str">
        <f>IF(A359="","",'Cálculos y conversiones'!$B$14)</f>
        <v/>
      </c>
      <c r="C359" s="6" t="str">
        <f>IF(A359="","",'Cálculos y conversiones'!$B$11*Tabla!E358)</f>
        <v/>
      </c>
      <c r="D359" s="6" t="str">
        <f t="shared" si="10"/>
        <v/>
      </c>
      <c r="E359" s="6" t="str">
        <f t="shared" si="11"/>
        <v/>
      </c>
    </row>
    <row r="360" spans="2:5" x14ac:dyDescent="0.25">
      <c r="B360" s="6" t="str">
        <f>IF(A360="","",'Cálculos y conversiones'!$B$14)</f>
        <v/>
      </c>
      <c r="C360" s="6" t="str">
        <f>IF(A360="","",'Cálculos y conversiones'!$B$11*Tabla!E359)</f>
        <v/>
      </c>
      <c r="D360" s="6" t="str">
        <f t="shared" si="10"/>
        <v/>
      </c>
      <c r="E360" s="6" t="str">
        <f t="shared" si="11"/>
        <v/>
      </c>
    </row>
    <row r="361" spans="2:5" x14ac:dyDescent="0.25">
      <c r="B361" s="6" t="str">
        <f>IF(A361="","",'Cálculos y conversiones'!$B$14)</f>
        <v/>
      </c>
      <c r="C361" s="6" t="str">
        <f>IF(A361="","",'Cálculos y conversiones'!$B$11*Tabla!E360)</f>
        <v/>
      </c>
      <c r="D361" s="6" t="str">
        <f t="shared" si="10"/>
        <v/>
      </c>
      <c r="E361" s="6" t="str">
        <f t="shared" si="11"/>
        <v/>
      </c>
    </row>
    <row r="362" spans="2:5" x14ac:dyDescent="0.25">
      <c r="B362" s="6" t="str">
        <f>IF(A362="","",'Cálculos y conversiones'!$B$14)</f>
        <v/>
      </c>
      <c r="C362" s="6" t="str">
        <f>IF(A362="","",'Cálculos y conversiones'!$B$11*Tabla!E361)</f>
        <v/>
      </c>
      <c r="D362" s="6" t="str">
        <f t="shared" si="10"/>
        <v/>
      </c>
      <c r="E362" s="6" t="str">
        <f t="shared" si="11"/>
        <v/>
      </c>
    </row>
    <row r="363" spans="2:5" x14ac:dyDescent="0.25">
      <c r="B363" s="6" t="str">
        <f>IF(A363="","",'Cálculos y conversiones'!$B$14)</f>
        <v/>
      </c>
      <c r="C363" s="6" t="str">
        <f>IF(A363="","",'Cálculos y conversiones'!$B$11*Tabla!E362)</f>
        <v/>
      </c>
      <c r="D363" s="6" t="str">
        <f t="shared" si="10"/>
        <v/>
      </c>
      <c r="E363" s="6" t="str">
        <f t="shared" si="11"/>
        <v/>
      </c>
    </row>
    <row r="364" spans="2:5" x14ac:dyDescent="0.25">
      <c r="B364" s="6" t="str">
        <f>IF(A364="","",'Cálculos y conversiones'!$B$14)</f>
        <v/>
      </c>
      <c r="C364" s="6" t="str">
        <f>IF(A364="","",'Cálculos y conversiones'!$B$11*Tabla!E363)</f>
        <v/>
      </c>
      <c r="D364" s="6" t="str">
        <f t="shared" si="10"/>
        <v/>
      </c>
      <c r="E364" s="6" t="str">
        <f t="shared" si="11"/>
        <v/>
      </c>
    </row>
    <row r="365" spans="2:5" x14ac:dyDescent="0.25">
      <c r="B365" s="6" t="str">
        <f>IF(A365="","",'Cálculos y conversiones'!$B$14)</f>
        <v/>
      </c>
      <c r="C365" s="6" t="str">
        <f>IF(A365="","",'Cálculos y conversiones'!$B$11*Tabla!E364)</f>
        <v/>
      </c>
      <c r="D365" s="6" t="str">
        <f t="shared" si="10"/>
        <v/>
      </c>
      <c r="E365" s="6" t="str">
        <f t="shared" si="11"/>
        <v/>
      </c>
    </row>
    <row r="366" spans="2:5" x14ac:dyDescent="0.25">
      <c r="B366" s="6" t="str">
        <f>IF(A366="","",'Cálculos y conversiones'!$B$14)</f>
        <v/>
      </c>
      <c r="C366" s="6" t="str">
        <f>IF(A366="","",'Cálculos y conversiones'!$B$11*Tabla!E365)</f>
        <v/>
      </c>
      <c r="D366" s="6" t="str">
        <f t="shared" si="10"/>
        <v/>
      </c>
      <c r="E366" s="6" t="str">
        <f t="shared" si="11"/>
        <v/>
      </c>
    </row>
    <row r="367" spans="2:5" x14ac:dyDescent="0.25">
      <c r="B367" s="6" t="str">
        <f>IF(A367="","",'Cálculos y conversiones'!$B$14)</f>
        <v/>
      </c>
      <c r="C367" s="6" t="str">
        <f>IF(A367="","",'Cálculos y conversiones'!$B$11*Tabla!E366)</f>
        <v/>
      </c>
      <c r="D367" s="6" t="str">
        <f t="shared" si="10"/>
        <v/>
      </c>
      <c r="E367" s="6" t="str">
        <f t="shared" si="11"/>
        <v/>
      </c>
    </row>
    <row r="368" spans="2:5" x14ac:dyDescent="0.25">
      <c r="B368" s="6" t="str">
        <f>IF(A368="","",'Cálculos y conversiones'!$B$14)</f>
        <v/>
      </c>
      <c r="C368" s="6" t="str">
        <f>IF(A368="","",'Cálculos y conversiones'!$B$11*Tabla!E367)</f>
        <v/>
      </c>
      <c r="D368" s="6" t="str">
        <f t="shared" si="10"/>
        <v/>
      </c>
      <c r="E368" s="6" t="str">
        <f t="shared" si="11"/>
        <v/>
      </c>
    </row>
    <row r="369" spans="2:5" x14ac:dyDescent="0.25">
      <c r="B369" s="6" t="str">
        <f>IF(A369="","",'Cálculos y conversiones'!$B$14)</f>
        <v/>
      </c>
      <c r="C369" s="6" t="str">
        <f>IF(A369="","",'Cálculos y conversiones'!$B$11*Tabla!E368)</f>
        <v/>
      </c>
      <c r="D369" s="6" t="str">
        <f t="shared" si="10"/>
        <v/>
      </c>
      <c r="E369" s="6" t="str">
        <f t="shared" si="11"/>
        <v/>
      </c>
    </row>
    <row r="370" spans="2:5" x14ac:dyDescent="0.25">
      <c r="B370" s="6" t="str">
        <f>IF(A370="","",'Cálculos y conversiones'!$B$14)</f>
        <v/>
      </c>
      <c r="C370" s="6" t="str">
        <f>IF(A370="","",'Cálculos y conversiones'!$B$11*Tabla!E369)</f>
        <v/>
      </c>
      <c r="D370" s="6" t="str">
        <f t="shared" si="10"/>
        <v/>
      </c>
      <c r="E370" s="6" t="str">
        <f t="shared" si="11"/>
        <v/>
      </c>
    </row>
    <row r="371" spans="2:5" x14ac:dyDescent="0.25">
      <c r="B371" s="6" t="str">
        <f>IF(A371="","",'Cálculos y conversiones'!$B$14)</f>
        <v/>
      </c>
      <c r="C371" s="6" t="str">
        <f>IF(A371="","",'Cálculos y conversiones'!$B$11*Tabla!E370)</f>
        <v/>
      </c>
      <c r="D371" s="6" t="str">
        <f t="shared" si="10"/>
        <v/>
      </c>
      <c r="E371" s="6" t="str">
        <f t="shared" si="11"/>
        <v/>
      </c>
    </row>
    <row r="372" spans="2:5" x14ac:dyDescent="0.25">
      <c r="B372" s="6" t="str">
        <f>IF(A372="","",'Cálculos y conversiones'!$B$14)</f>
        <v/>
      </c>
      <c r="C372" s="6" t="str">
        <f>IF(A372="","",'Cálculos y conversiones'!$B$11*Tabla!E371)</f>
        <v/>
      </c>
      <c r="D372" s="6" t="str">
        <f t="shared" si="10"/>
        <v/>
      </c>
      <c r="E372" s="6" t="str">
        <f t="shared" si="11"/>
        <v/>
      </c>
    </row>
    <row r="373" spans="2:5" x14ac:dyDescent="0.25">
      <c r="B373" s="6" t="str">
        <f>IF(A373="","",'Cálculos y conversiones'!$B$14)</f>
        <v/>
      </c>
      <c r="C373" s="6" t="str">
        <f>IF(A373="","",'Cálculos y conversiones'!$B$11*Tabla!E372)</f>
        <v/>
      </c>
      <c r="D373" s="6" t="str">
        <f t="shared" si="10"/>
        <v/>
      </c>
      <c r="E373" s="6" t="str">
        <f t="shared" si="11"/>
        <v/>
      </c>
    </row>
    <row r="374" spans="2:5" x14ac:dyDescent="0.25">
      <c r="B374" s="6" t="str">
        <f>IF(A374="","",'Cálculos y conversiones'!$B$14)</f>
        <v/>
      </c>
      <c r="C374" s="6" t="str">
        <f>IF(A374="","",'Cálculos y conversiones'!$B$11*Tabla!E373)</f>
        <v/>
      </c>
      <c r="D374" s="6" t="str">
        <f t="shared" si="10"/>
        <v/>
      </c>
      <c r="E374" s="6" t="str">
        <f t="shared" si="11"/>
        <v/>
      </c>
    </row>
    <row r="375" spans="2:5" x14ac:dyDescent="0.25">
      <c r="B375" s="6" t="str">
        <f>IF(A375="","",'Cálculos y conversiones'!$B$14)</f>
        <v/>
      </c>
      <c r="C375" s="6" t="str">
        <f>IF(A375="","",'Cálculos y conversiones'!$B$11*Tabla!E374)</f>
        <v/>
      </c>
      <c r="D375" s="6" t="str">
        <f t="shared" si="10"/>
        <v/>
      </c>
      <c r="E375" s="6" t="str">
        <f t="shared" si="11"/>
        <v/>
      </c>
    </row>
    <row r="376" spans="2:5" x14ac:dyDescent="0.25">
      <c r="B376" s="6" t="str">
        <f>IF(A376="","",'Cálculos y conversiones'!$B$14)</f>
        <v/>
      </c>
      <c r="C376" s="6" t="str">
        <f>IF(A376="","",'Cálculos y conversiones'!$B$11*Tabla!E375)</f>
        <v/>
      </c>
      <c r="D376" s="6" t="str">
        <f t="shared" si="10"/>
        <v/>
      </c>
      <c r="E376" s="6" t="str">
        <f t="shared" si="11"/>
        <v/>
      </c>
    </row>
    <row r="377" spans="2:5" x14ac:dyDescent="0.25">
      <c r="B377" s="6" t="str">
        <f>IF(A377="","",'Cálculos y conversiones'!$B$14)</f>
        <v/>
      </c>
      <c r="C377" s="6" t="str">
        <f>IF(A377="","",'Cálculos y conversiones'!$B$11*Tabla!E376)</f>
        <v/>
      </c>
      <c r="D377" s="6" t="str">
        <f t="shared" si="10"/>
        <v/>
      </c>
      <c r="E377" s="6" t="str">
        <f t="shared" si="11"/>
        <v/>
      </c>
    </row>
    <row r="378" spans="2:5" x14ac:dyDescent="0.25">
      <c r="B378" s="6" t="str">
        <f>IF(A378="","",'Cálculos y conversiones'!$B$14)</f>
        <v/>
      </c>
      <c r="C378" s="6" t="str">
        <f>IF(A378="","",'Cálculos y conversiones'!$B$11*Tabla!E377)</f>
        <v/>
      </c>
      <c r="D378" s="6" t="str">
        <f t="shared" si="10"/>
        <v/>
      </c>
      <c r="E378" s="6" t="str">
        <f t="shared" si="11"/>
        <v/>
      </c>
    </row>
    <row r="379" spans="2:5" x14ac:dyDescent="0.25">
      <c r="B379" s="6" t="str">
        <f>IF(A379="","",'Cálculos y conversiones'!$B$14)</f>
        <v/>
      </c>
      <c r="C379" s="6" t="str">
        <f>IF(A379="","",'Cálculos y conversiones'!$B$11*Tabla!E378)</f>
        <v/>
      </c>
      <c r="D379" s="6" t="str">
        <f t="shared" si="10"/>
        <v/>
      </c>
      <c r="E379" s="6" t="str">
        <f t="shared" si="11"/>
        <v/>
      </c>
    </row>
    <row r="380" spans="2:5" x14ac:dyDescent="0.25">
      <c r="B380" s="6" t="str">
        <f>IF(A380="","",'Cálculos y conversiones'!$B$14)</f>
        <v/>
      </c>
      <c r="C380" s="6" t="str">
        <f>IF(A380="","",'Cálculos y conversiones'!$B$11*Tabla!E379)</f>
        <v/>
      </c>
      <c r="D380" s="6" t="str">
        <f t="shared" si="10"/>
        <v/>
      </c>
      <c r="E380" s="6" t="str">
        <f t="shared" si="11"/>
        <v/>
      </c>
    </row>
    <row r="381" spans="2:5" x14ac:dyDescent="0.25">
      <c r="B381" s="6" t="str">
        <f>IF(A381="","",'Cálculos y conversiones'!$B$14)</f>
        <v/>
      </c>
      <c r="C381" s="6" t="str">
        <f>IF(A381="","",'Cálculos y conversiones'!$B$11*Tabla!E380)</f>
        <v/>
      </c>
      <c r="D381" s="6" t="str">
        <f t="shared" si="10"/>
        <v/>
      </c>
      <c r="E381" s="6" t="str">
        <f t="shared" si="11"/>
        <v/>
      </c>
    </row>
    <row r="382" spans="2:5" x14ac:dyDescent="0.25">
      <c r="B382" s="6" t="str">
        <f>IF(A382="","",'Cálculos y conversiones'!$B$14)</f>
        <v/>
      </c>
      <c r="C382" s="6" t="str">
        <f>IF(A382="","",'Cálculos y conversiones'!$B$11*Tabla!E381)</f>
        <v/>
      </c>
      <c r="D382" s="6" t="str">
        <f t="shared" si="10"/>
        <v/>
      </c>
      <c r="E382" s="6" t="str">
        <f t="shared" si="11"/>
        <v/>
      </c>
    </row>
    <row r="383" spans="2:5" x14ac:dyDescent="0.25">
      <c r="B383" s="6" t="str">
        <f>IF(A383="","",'Cálculos y conversiones'!$B$14)</f>
        <v/>
      </c>
      <c r="C383" s="6" t="str">
        <f>IF(A383="","",'Cálculos y conversiones'!$B$11*Tabla!E382)</f>
        <v/>
      </c>
      <c r="D383" s="6" t="str">
        <f t="shared" si="10"/>
        <v/>
      </c>
      <c r="E383" s="6" t="str">
        <f t="shared" si="11"/>
        <v/>
      </c>
    </row>
    <row r="384" spans="2:5" x14ac:dyDescent="0.25">
      <c r="B384" s="6" t="str">
        <f>IF(A384="","",'Cálculos y conversiones'!$B$14)</f>
        <v/>
      </c>
      <c r="C384" s="6" t="str">
        <f>IF(A384="","",'Cálculos y conversiones'!$B$11*Tabla!E383)</f>
        <v/>
      </c>
      <c r="D384" s="6" t="str">
        <f t="shared" si="10"/>
        <v/>
      </c>
      <c r="E384" s="6" t="str">
        <f t="shared" si="11"/>
        <v/>
      </c>
    </row>
    <row r="385" spans="2:5" x14ac:dyDescent="0.25">
      <c r="B385" s="6" t="str">
        <f>IF(A385="","",'Cálculos y conversiones'!$B$14)</f>
        <v/>
      </c>
      <c r="C385" s="6" t="str">
        <f>IF(A385="","",'Cálculos y conversiones'!$B$11*Tabla!E384)</f>
        <v/>
      </c>
      <c r="D385" s="6" t="str">
        <f t="shared" si="10"/>
        <v/>
      </c>
      <c r="E385" s="6" t="str">
        <f t="shared" si="11"/>
        <v/>
      </c>
    </row>
    <row r="386" spans="2:5" x14ac:dyDescent="0.25">
      <c r="B386" s="6" t="str">
        <f>IF(A386="","",'Cálculos y conversiones'!$B$14)</f>
        <v/>
      </c>
      <c r="C386" s="6" t="str">
        <f>IF(A386="","",'Cálculos y conversiones'!$B$11*Tabla!E385)</f>
        <v/>
      </c>
      <c r="D386" s="6" t="str">
        <f t="shared" si="10"/>
        <v/>
      </c>
      <c r="E386" s="6" t="str">
        <f t="shared" si="11"/>
        <v/>
      </c>
    </row>
    <row r="387" spans="2:5" x14ac:dyDescent="0.25">
      <c r="B387" s="6" t="str">
        <f>IF(A387="","",'Cálculos y conversiones'!$B$14)</f>
        <v/>
      </c>
      <c r="C387" s="6" t="str">
        <f>IF(A387="","",'Cálculos y conversiones'!$B$11*Tabla!E386)</f>
        <v/>
      </c>
      <c r="D387" s="6" t="str">
        <f t="shared" si="10"/>
        <v/>
      </c>
      <c r="E387" s="6" t="str">
        <f t="shared" si="11"/>
        <v/>
      </c>
    </row>
    <row r="388" spans="2:5" x14ac:dyDescent="0.25">
      <c r="B388" s="6" t="str">
        <f>IF(A388="","",'Cálculos y conversiones'!$B$14)</f>
        <v/>
      </c>
      <c r="C388" s="6" t="str">
        <f>IF(A388="","",'Cálculos y conversiones'!$B$11*Tabla!E387)</f>
        <v/>
      </c>
      <c r="D388" s="6" t="str">
        <f t="shared" si="10"/>
        <v/>
      </c>
      <c r="E388" s="6" t="str">
        <f t="shared" si="11"/>
        <v/>
      </c>
    </row>
    <row r="389" spans="2:5" x14ac:dyDescent="0.25">
      <c r="B389" s="6" t="str">
        <f>IF(A389="","",'Cálculos y conversiones'!$B$14)</f>
        <v/>
      </c>
      <c r="C389" s="6" t="str">
        <f>IF(A389="","",'Cálculos y conversiones'!$B$11*Tabla!E388)</f>
        <v/>
      </c>
      <c r="D389" s="6" t="str">
        <f t="shared" si="10"/>
        <v/>
      </c>
      <c r="E389" s="6" t="str">
        <f t="shared" si="11"/>
        <v/>
      </c>
    </row>
    <row r="390" spans="2:5" x14ac:dyDescent="0.25">
      <c r="B390" s="6" t="str">
        <f>IF(A390="","",'Cálculos y conversiones'!$B$14)</f>
        <v/>
      </c>
      <c r="C390" s="6" t="str">
        <f>IF(A390="","",'Cálculos y conversiones'!$B$11*Tabla!E389)</f>
        <v/>
      </c>
      <c r="D390" s="6" t="str">
        <f t="shared" si="10"/>
        <v/>
      </c>
      <c r="E390" s="6" t="str">
        <f t="shared" si="11"/>
        <v/>
      </c>
    </row>
    <row r="391" spans="2:5" x14ac:dyDescent="0.25">
      <c r="B391" s="6" t="str">
        <f>IF(A391="","",'Cálculos y conversiones'!$B$14)</f>
        <v/>
      </c>
      <c r="C391" s="6" t="str">
        <f>IF(A391="","",'Cálculos y conversiones'!$B$11*Tabla!E390)</f>
        <v/>
      </c>
      <c r="D391" s="6" t="str">
        <f t="shared" si="10"/>
        <v/>
      </c>
      <c r="E391" s="6" t="str">
        <f t="shared" si="11"/>
        <v/>
      </c>
    </row>
    <row r="392" spans="2:5" x14ac:dyDescent="0.25">
      <c r="B392" s="6" t="str">
        <f>IF(A392="","",'Cálculos y conversiones'!$B$14)</f>
        <v/>
      </c>
      <c r="C392" s="6" t="str">
        <f>IF(A392="","",'Cálculos y conversiones'!$B$11*Tabla!E391)</f>
        <v/>
      </c>
      <c r="D392" s="6" t="str">
        <f t="shared" si="10"/>
        <v/>
      </c>
      <c r="E392" s="6" t="str">
        <f t="shared" si="11"/>
        <v/>
      </c>
    </row>
    <row r="393" spans="2:5" x14ac:dyDescent="0.25">
      <c r="B393" s="6" t="str">
        <f>IF(A393="","",'Cálculos y conversiones'!$B$14)</f>
        <v/>
      </c>
      <c r="C393" s="6" t="str">
        <f>IF(A393="","",'Cálculos y conversiones'!$B$11*Tabla!E392)</f>
        <v/>
      </c>
      <c r="D393" s="6" t="str">
        <f t="shared" si="10"/>
        <v/>
      </c>
      <c r="E393" s="6" t="str">
        <f t="shared" si="11"/>
        <v/>
      </c>
    </row>
    <row r="394" spans="2:5" x14ac:dyDescent="0.25">
      <c r="B394" s="6" t="str">
        <f>IF(A394="","",'Cálculos y conversiones'!$B$14)</f>
        <v/>
      </c>
      <c r="C394" s="6" t="str">
        <f>IF(A394="","",'Cálculos y conversiones'!$B$11*Tabla!E393)</f>
        <v/>
      </c>
      <c r="D394" s="6" t="str">
        <f t="shared" ref="D394:D457" si="12">IF(A394="","",B394-C394)</f>
        <v/>
      </c>
      <c r="E394" s="6" t="str">
        <f t="shared" ref="E394:E457" si="13">IF(A394="","",E393-D394)</f>
        <v/>
      </c>
    </row>
    <row r="395" spans="2:5" x14ac:dyDescent="0.25">
      <c r="B395" s="6" t="str">
        <f>IF(A395="","",'Cálculos y conversiones'!$B$14)</f>
        <v/>
      </c>
      <c r="C395" s="6" t="str">
        <f>IF(A395="","",'Cálculos y conversiones'!$B$11*Tabla!E394)</f>
        <v/>
      </c>
      <c r="D395" s="6" t="str">
        <f t="shared" si="12"/>
        <v/>
      </c>
      <c r="E395" s="6" t="str">
        <f t="shared" si="13"/>
        <v/>
      </c>
    </row>
    <row r="396" spans="2:5" x14ac:dyDescent="0.25">
      <c r="B396" s="6" t="str">
        <f>IF(A396="","",'Cálculos y conversiones'!$B$14)</f>
        <v/>
      </c>
      <c r="C396" s="6" t="str">
        <f>IF(A396="","",'Cálculos y conversiones'!$B$11*Tabla!E395)</f>
        <v/>
      </c>
      <c r="D396" s="6" t="str">
        <f t="shared" si="12"/>
        <v/>
      </c>
      <c r="E396" s="6" t="str">
        <f t="shared" si="13"/>
        <v/>
      </c>
    </row>
    <row r="397" spans="2:5" x14ac:dyDescent="0.25">
      <c r="B397" s="6" t="str">
        <f>IF(A397="","",'Cálculos y conversiones'!$B$14)</f>
        <v/>
      </c>
      <c r="C397" s="6" t="str">
        <f>IF(A397="","",'Cálculos y conversiones'!$B$11*Tabla!E396)</f>
        <v/>
      </c>
      <c r="D397" s="6" t="str">
        <f t="shared" si="12"/>
        <v/>
      </c>
      <c r="E397" s="6" t="str">
        <f t="shared" si="13"/>
        <v/>
      </c>
    </row>
    <row r="398" spans="2:5" x14ac:dyDescent="0.25">
      <c r="B398" s="6" t="str">
        <f>IF(A398="","",'Cálculos y conversiones'!$B$14)</f>
        <v/>
      </c>
      <c r="C398" s="6" t="str">
        <f>IF(A398="","",'Cálculos y conversiones'!$B$11*Tabla!E397)</f>
        <v/>
      </c>
      <c r="D398" s="6" t="str">
        <f t="shared" si="12"/>
        <v/>
      </c>
      <c r="E398" s="6" t="str">
        <f t="shared" si="13"/>
        <v/>
      </c>
    </row>
    <row r="399" spans="2:5" x14ac:dyDescent="0.25">
      <c r="B399" s="6" t="str">
        <f>IF(A399="","",'Cálculos y conversiones'!$B$14)</f>
        <v/>
      </c>
      <c r="C399" s="6" t="str">
        <f>IF(A399="","",'Cálculos y conversiones'!$B$11*Tabla!E398)</f>
        <v/>
      </c>
      <c r="D399" s="6" t="str">
        <f t="shared" si="12"/>
        <v/>
      </c>
      <c r="E399" s="6" t="str">
        <f t="shared" si="13"/>
        <v/>
      </c>
    </row>
    <row r="400" spans="2:5" x14ac:dyDescent="0.25">
      <c r="B400" s="6" t="str">
        <f>IF(A400="","",'Cálculos y conversiones'!$B$14)</f>
        <v/>
      </c>
      <c r="C400" s="6" t="str">
        <f>IF(A400="","",'Cálculos y conversiones'!$B$11*Tabla!E399)</f>
        <v/>
      </c>
      <c r="D400" s="6" t="str">
        <f t="shared" si="12"/>
        <v/>
      </c>
      <c r="E400" s="6" t="str">
        <f t="shared" si="13"/>
        <v/>
      </c>
    </row>
    <row r="401" spans="2:5" x14ac:dyDescent="0.25">
      <c r="B401" s="6" t="str">
        <f>IF(A401="","",'Cálculos y conversiones'!$B$14)</f>
        <v/>
      </c>
      <c r="C401" s="6" t="str">
        <f>IF(A401="","",'Cálculos y conversiones'!$B$11*Tabla!E400)</f>
        <v/>
      </c>
      <c r="D401" s="6" t="str">
        <f t="shared" si="12"/>
        <v/>
      </c>
      <c r="E401" s="6" t="str">
        <f t="shared" si="13"/>
        <v/>
      </c>
    </row>
    <row r="402" spans="2:5" x14ac:dyDescent="0.25">
      <c r="B402" s="6" t="str">
        <f>IF(A402="","",'Cálculos y conversiones'!$B$14)</f>
        <v/>
      </c>
      <c r="C402" s="6" t="str">
        <f>IF(A402="","",'Cálculos y conversiones'!$B$11*Tabla!E401)</f>
        <v/>
      </c>
      <c r="D402" s="6" t="str">
        <f t="shared" si="12"/>
        <v/>
      </c>
      <c r="E402" s="6" t="str">
        <f t="shared" si="13"/>
        <v/>
      </c>
    </row>
    <row r="403" spans="2:5" x14ac:dyDescent="0.25">
      <c r="B403" s="6" t="str">
        <f>IF(A403="","",'Cálculos y conversiones'!$B$14)</f>
        <v/>
      </c>
      <c r="C403" s="6" t="str">
        <f>IF(A403="","",'Cálculos y conversiones'!$B$11*Tabla!E402)</f>
        <v/>
      </c>
      <c r="D403" s="6" t="str">
        <f t="shared" si="12"/>
        <v/>
      </c>
      <c r="E403" s="6" t="str">
        <f t="shared" si="13"/>
        <v/>
      </c>
    </row>
    <row r="404" spans="2:5" x14ac:dyDescent="0.25">
      <c r="B404" s="6" t="str">
        <f>IF(A404="","",'Cálculos y conversiones'!$B$14)</f>
        <v/>
      </c>
      <c r="C404" s="6" t="str">
        <f>IF(A404="","",'Cálculos y conversiones'!$B$11*Tabla!E403)</f>
        <v/>
      </c>
      <c r="D404" s="6" t="str">
        <f t="shared" si="12"/>
        <v/>
      </c>
      <c r="E404" s="6" t="str">
        <f t="shared" si="13"/>
        <v/>
      </c>
    </row>
    <row r="405" spans="2:5" x14ac:dyDescent="0.25">
      <c r="B405" s="6" t="str">
        <f>IF(A405="","",'Cálculos y conversiones'!$B$14)</f>
        <v/>
      </c>
      <c r="C405" s="6" t="str">
        <f>IF(A405="","",'Cálculos y conversiones'!$B$11*Tabla!E404)</f>
        <v/>
      </c>
      <c r="D405" s="6" t="str">
        <f t="shared" si="12"/>
        <v/>
      </c>
      <c r="E405" s="6" t="str">
        <f t="shared" si="13"/>
        <v/>
      </c>
    </row>
    <row r="406" spans="2:5" x14ac:dyDescent="0.25">
      <c r="B406" s="6" t="str">
        <f>IF(A406="","",'Cálculos y conversiones'!$B$14)</f>
        <v/>
      </c>
      <c r="C406" s="6" t="str">
        <f>IF(A406="","",'Cálculos y conversiones'!$B$11*Tabla!E405)</f>
        <v/>
      </c>
      <c r="D406" s="6" t="str">
        <f t="shared" si="12"/>
        <v/>
      </c>
      <c r="E406" s="6" t="str">
        <f t="shared" si="13"/>
        <v/>
      </c>
    </row>
    <row r="407" spans="2:5" x14ac:dyDescent="0.25">
      <c r="B407" s="6" t="str">
        <f>IF(A407="","",'Cálculos y conversiones'!$B$14)</f>
        <v/>
      </c>
      <c r="C407" s="6" t="str">
        <f>IF(A407="","",'Cálculos y conversiones'!$B$11*Tabla!E406)</f>
        <v/>
      </c>
      <c r="D407" s="6" t="str">
        <f t="shared" si="12"/>
        <v/>
      </c>
      <c r="E407" s="6" t="str">
        <f t="shared" si="13"/>
        <v/>
      </c>
    </row>
    <row r="408" spans="2:5" x14ac:dyDescent="0.25">
      <c r="B408" s="6" t="str">
        <f>IF(A408="","",'Cálculos y conversiones'!$B$14)</f>
        <v/>
      </c>
      <c r="C408" s="6" t="str">
        <f>IF(A408="","",'Cálculos y conversiones'!$B$11*Tabla!E407)</f>
        <v/>
      </c>
      <c r="D408" s="6" t="str">
        <f t="shared" si="12"/>
        <v/>
      </c>
      <c r="E408" s="6" t="str">
        <f t="shared" si="13"/>
        <v/>
      </c>
    </row>
    <row r="409" spans="2:5" x14ac:dyDescent="0.25">
      <c r="B409" s="6" t="str">
        <f>IF(A409="","",'Cálculos y conversiones'!$B$14)</f>
        <v/>
      </c>
      <c r="C409" s="6" t="str">
        <f>IF(A409="","",'Cálculos y conversiones'!$B$11*Tabla!E408)</f>
        <v/>
      </c>
      <c r="D409" s="6" t="str">
        <f t="shared" si="12"/>
        <v/>
      </c>
      <c r="E409" s="6" t="str">
        <f t="shared" si="13"/>
        <v/>
      </c>
    </row>
    <row r="410" spans="2:5" x14ac:dyDescent="0.25">
      <c r="B410" s="6" t="str">
        <f>IF(A410="","",'Cálculos y conversiones'!$B$14)</f>
        <v/>
      </c>
      <c r="C410" s="6" t="str">
        <f>IF(A410="","",'Cálculos y conversiones'!$B$11*Tabla!E409)</f>
        <v/>
      </c>
      <c r="D410" s="6" t="str">
        <f t="shared" si="12"/>
        <v/>
      </c>
      <c r="E410" s="6" t="str">
        <f t="shared" si="13"/>
        <v/>
      </c>
    </row>
    <row r="411" spans="2:5" x14ac:dyDescent="0.25">
      <c r="B411" s="6" t="str">
        <f>IF(A411="","",'Cálculos y conversiones'!$B$14)</f>
        <v/>
      </c>
      <c r="C411" s="6" t="str">
        <f>IF(A411="","",'Cálculos y conversiones'!$B$11*Tabla!E410)</f>
        <v/>
      </c>
      <c r="D411" s="6" t="str">
        <f t="shared" si="12"/>
        <v/>
      </c>
      <c r="E411" s="6" t="str">
        <f t="shared" si="13"/>
        <v/>
      </c>
    </row>
    <row r="412" spans="2:5" x14ac:dyDescent="0.25">
      <c r="B412" s="6" t="str">
        <f>IF(A412="","",'Cálculos y conversiones'!$B$14)</f>
        <v/>
      </c>
      <c r="C412" s="6" t="str">
        <f>IF(A412="","",'Cálculos y conversiones'!$B$11*Tabla!E411)</f>
        <v/>
      </c>
      <c r="D412" s="6" t="str">
        <f t="shared" si="12"/>
        <v/>
      </c>
      <c r="E412" s="6" t="str">
        <f t="shared" si="13"/>
        <v/>
      </c>
    </row>
    <row r="413" spans="2:5" x14ac:dyDescent="0.25">
      <c r="B413" s="6" t="str">
        <f>IF(A413="","",'Cálculos y conversiones'!$B$14)</f>
        <v/>
      </c>
      <c r="C413" s="6" t="str">
        <f>IF(A413="","",'Cálculos y conversiones'!$B$11*Tabla!E412)</f>
        <v/>
      </c>
      <c r="D413" s="6" t="str">
        <f t="shared" si="12"/>
        <v/>
      </c>
      <c r="E413" s="6" t="str">
        <f t="shared" si="13"/>
        <v/>
      </c>
    </row>
    <row r="414" spans="2:5" x14ac:dyDescent="0.25">
      <c r="B414" s="6" t="str">
        <f>IF(A414="","",'Cálculos y conversiones'!$B$14)</f>
        <v/>
      </c>
      <c r="C414" s="6" t="str">
        <f>IF(A414="","",'Cálculos y conversiones'!$B$11*Tabla!E413)</f>
        <v/>
      </c>
      <c r="D414" s="6" t="str">
        <f t="shared" si="12"/>
        <v/>
      </c>
      <c r="E414" s="6" t="str">
        <f t="shared" si="13"/>
        <v/>
      </c>
    </row>
    <row r="415" spans="2:5" x14ac:dyDescent="0.25">
      <c r="B415" s="6" t="str">
        <f>IF(A415="","",'Cálculos y conversiones'!$B$14)</f>
        <v/>
      </c>
      <c r="C415" s="6" t="str">
        <f>IF(A415="","",'Cálculos y conversiones'!$B$11*Tabla!E414)</f>
        <v/>
      </c>
      <c r="D415" s="6" t="str">
        <f t="shared" si="12"/>
        <v/>
      </c>
      <c r="E415" s="6" t="str">
        <f t="shared" si="13"/>
        <v/>
      </c>
    </row>
    <row r="416" spans="2:5" x14ac:dyDescent="0.25">
      <c r="B416" s="6" t="str">
        <f>IF(A416="","",'Cálculos y conversiones'!$B$14)</f>
        <v/>
      </c>
      <c r="C416" s="6" t="str">
        <f>IF(A416="","",'Cálculos y conversiones'!$B$11*Tabla!E415)</f>
        <v/>
      </c>
      <c r="D416" s="6" t="str">
        <f t="shared" si="12"/>
        <v/>
      </c>
      <c r="E416" s="6" t="str">
        <f t="shared" si="13"/>
        <v/>
      </c>
    </row>
    <row r="417" spans="2:5" x14ac:dyDescent="0.25">
      <c r="B417" s="6" t="str">
        <f>IF(A417="","",'Cálculos y conversiones'!$B$14)</f>
        <v/>
      </c>
      <c r="C417" s="6" t="str">
        <f>IF(A417="","",'Cálculos y conversiones'!$B$11*Tabla!E416)</f>
        <v/>
      </c>
      <c r="D417" s="6" t="str">
        <f t="shared" si="12"/>
        <v/>
      </c>
      <c r="E417" s="6" t="str">
        <f t="shared" si="13"/>
        <v/>
      </c>
    </row>
    <row r="418" spans="2:5" x14ac:dyDescent="0.25">
      <c r="B418" s="6" t="str">
        <f>IF(A418="","",'Cálculos y conversiones'!$B$14)</f>
        <v/>
      </c>
      <c r="C418" s="6" t="str">
        <f>IF(A418="","",'Cálculos y conversiones'!$B$11*Tabla!E417)</f>
        <v/>
      </c>
      <c r="D418" s="6" t="str">
        <f t="shared" si="12"/>
        <v/>
      </c>
      <c r="E418" s="6" t="str">
        <f t="shared" si="13"/>
        <v/>
      </c>
    </row>
    <row r="419" spans="2:5" x14ac:dyDescent="0.25">
      <c r="B419" s="6" t="str">
        <f>IF(A419="","",'Cálculos y conversiones'!$B$14)</f>
        <v/>
      </c>
      <c r="C419" s="6" t="str">
        <f>IF(A419="","",'Cálculos y conversiones'!$B$11*Tabla!E418)</f>
        <v/>
      </c>
      <c r="D419" s="6" t="str">
        <f t="shared" si="12"/>
        <v/>
      </c>
      <c r="E419" s="6" t="str">
        <f t="shared" si="13"/>
        <v/>
      </c>
    </row>
    <row r="420" spans="2:5" x14ac:dyDescent="0.25">
      <c r="B420" s="6" t="str">
        <f>IF(A420="","",'Cálculos y conversiones'!$B$14)</f>
        <v/>
      </c>
      <c r="C420" s="6" t="str">
        <f>IF(A420="","",'Cálculos y conversiones'!$B$11*Tabla!E419)</f>
        <v/>
      </c>
      <c r="D420" s="6" t="str">
        <f t="shared" si="12"/>
        <v/>
      </c>
      <c r="E420" s="6" t="str">
        <f t="shared" si="13"/>
        <v/>
      </c>
    </row>
    <row r="421" spans="2:5" x14ac:dyDescent="0.25">
      <c r="B421" s="6" t="str">
        <f>IF(A421="","",'Cálculos y conversiones'!$B$14)</f>
        <v/>
      </c>
      <c r="C421" s="6" t="str">
        <f>IF(A421="","",'Cálculos y conversiones'!$B$11*Tabla!E420)</f>
        <v/>
      </c>
      <c r="D421" s="6" t="str">
        <f t="shared" si="12"/>
        <v/>
      </c>
      <c r="E421" s="6" t="str">
        <f t="shared" si="13"/>
        <v/>
      </c>
    </row>
    <row r="422" spans="2:5" x14ac:dyDescent="0.25">
      <c r="B422" s="6" t="str">
        <f>IF(A422="","",'Cálculos y conversiones'!$B$14)</f>
        <v/>
      </c>
      <c r="C422" s="6" t="str">
        <f>IF(A422="","",'Cálculos y conversiones'!$B$11*Tabla!E421)</f>
        <v/>
      </c>
      <c r="D422" s="6" t="str">
        <f t="shared" si="12"/>
        <v/>
      </c>
      <c r="E422" s="6" t="str">
        <f t="shared" si="13"/>
        <v/>
      </c>
    </row>
    <row r="423" spans="2:5" x14ac:dyDescent="0.25">
      <c r="B423" s="6" t="str">
        <f>IF(A423="","",'Cálculos y conversiones'!$B$14)</f>
        <v/>
      </c>
      <c r="C423" s="6" t="str">
        <f>IF(A423="","",'Cálculos y conversiones'!$B$11*Tabla!E422)</f>
        <v/>
      </c>
      <c r="D423" s="6" t="str">
        <f t="shared" si="12"/>
        <v/>
      </c>
      <c r="E423" s="6" t="str">
        <f t="shared" si="13"/>
        <v/>
      </c>
    </row>
    <row r="424" spans="2:5" x14ac:dyDescent="0.25">
      <c r="B424" s="6" t="str">
        <f>IF(A424="","",'Cálculos y conversiones'!$B$14)</f>
        <v/>
      </c>
      <c r="C424" s="6" t="str">
        <f>IF(A424="","",'Cálculos y conversiones'!$B$11*Tabla!E423)</f>
        <v/>
      </c>
      <c r="D424" s="6" t="str">
        <f t="shared" si="12"/>
        <v/>
      </c>
      <c r="E424" s="6" t="str">
        <f t="shared" si="13"/>
        <v/>
      </c>
    </row>
    <row r="425" spans="2:5" x14ac:dyDescent="0.25">
      <c r="B425" s="6" t="str">
        <f>IF(A425="","",'Cálculos y conversiones'!$B$14)</f>
        <v/>
      </c>
      <c r="C425" s="6" t="str">
        <f>IF(A425="","",'Cálculos y conversiones'!$B$11*Tabla!E424)</f>
        <v/>
      </c>
      <c r="D425" s="6" t="str">
        <f t="shared" si="12"/>
        <v/>
      </c>
      <c r="E425" s="6" t="str">
        <f t="shared" si="13"/>
        <v/>
      </c>
    </row>
    <row r="426" spans="2:5" x14ac:dyDescent="0.25">
      <c r="B426" s="6" t="str">
        <f>IF(A426="","",'Cálculos y conversiones'!$B$14)</f>
        <v/>
      </c>
      <c r="C426" s="6" t="str">
        <f>IF(A426="","",'Cálculos y conversiones'!$B$11*Tabla!E425)</f>
        <v/>
      </c>
      <c r="D426" s="6" t="str">
        <f t="shared" si="12"/>
        <v/>
      </c>
      <c r="E426" s="6" t="str">
        <f t="shared" si="13"/>
        <v/>
      </c>
    </row>
    <row r="427" spans="2:5" x14ac:dyDescent="0.25">
      <c r="B427" s="6" t="str">
        <f>IF(A427="","",'Cálculos y conversiones'!$B$14)</f>
        <v/>
      </c>
      <c r="C427" s="6" t="str">
        <f>IF(A427="","",'Cálculos y conversiones'!$B$11*Tabla!E426)</f>
        <v/>
      </c>
      <c r="D427" s="6" t="str">
        <f t="shared" si="12"/>
        <v/>
      </c>
      <c r="E427" s="6" t="str">
        <f t="shared" si="13"/>
        <v/>
      </c>
    </row>
    <row r="428" spans="2:5" x14ac:dyDescent="0.25">
      <c r="B428" s="6" t="str">
        <f>IF(A428="","",'Cálculos y conversiones'!$B$14)</f>
        <v/>
      </c>
      <c r="C428" s="6" t="str">
        <f>IF(A428="","",'Cálculos y conversiones'!$B$11*Tabla!E427)</f>
        <v/>
      </c>
      <c r="D428" s="6" t="str">
        <f t="shared" si="12"/>
        <v/>
      </c>
      <c r="E428" s="6" t="str">
        <f t="shared" si="13"/>
        <v/>
      </c>
    </row>
    <row r="429" spans="2:5" x14ac:dyDescent="0.25">
      <c r="B429" s="6" t="str">
        <f>IF(A429="","",'Cálculos y conversiones'!$B$14)</f>
        <v/>
      </c>
      <c r="C429" s="6" t="str">
        <f>IF(A429="","",'Cálculos y conversiones'!$B$11*Tabla!E428)</f>
        <v/>
      </c>
      <c r="D429" s="6" t="str">
        <f t="shared" si="12"/>
        <v/>
      </c>
      <c r="E429" s="6" t="str">
        <f t="shared" si="13"/>
        <v/>
      </c>
    </row>
    <row r="430" spans="2:5" x14ac:dyDescent="0.25">
      <c r="B430" s="6" t="str">
        <f>IF(A430="","",'Cálculos y conversiones'!$B$14)</f>
        <v/>
      </c>
      <c r="C430" s="6" t="str">
        <f>IF(A430="","",'Cálculos y conversiones'!$B$11*Tabla!E429)</f>
        <v/>
      </c>
      <c r="D430" s="6" t="str">
        <f t="shared" si="12"/>
        <v/>
      </c>
      <c r="E430" s="6" t="str">
        <f t="shared" si="13"/>
        <v/>
      </c>
    </row>
    <row r="431" spans="2:5" x14ac:dyDescent="0.25">
      <c r="B431" s="6" t="str">
        <f>IF(A431="","",'Cálculos y conversiones'!$B$14)</f>
        <v/>
      </c>
      <c r="C431" s="6" t="str">
        <f>IF(A431="","",'Cálculos y conversiones'!$B$11*Tabla!E430)</f>
        <v/>
      </c>
      <c r="D431" s="6" t="str">
        <f t="shared" si="12"/>
        <v/>
      </c>
      <c r="E431" s="6" t="str">
        <f t="shared" si="13"/>
        <v/>
      </c>
    </row>
    <row r="432" spans="2:5" x14ac:dyDescent="0.25">
      <c r="B432" s="6" t="str">
        <f>IF(A432="","",'Cálculos y conversiones'!$B$14)</f>
        <v/>
      </c>
      <c r="C432" s="6" t="str">
        <f>IF(A432="","",'Cálculos y conversiones'!$B$11*Tabla!E431)</f>
        <v/>
      </c>
      <c r="D432" s="6" t="str">
        <f t="shared" si="12"/>
        <v/>
      </c>
      <c r="E432" s="6" t="str">
        <f t="shared" si="13"/>
        <v/>
      </c>
    </row>
    <row r="433" spans="2:5" x14ac:dyDescent="0.25">
      <c r="B433" s="6" t="str">
        <f>IF(A433="","",'Cálculos y conversiones'!$B$14)</f>
        <v/>
      </c>
      <c r="C433" s="6" t="str">
        <f>IF(A433="","",'Cálculos y conversiones'!$B$11*Tabla!E432)</f>
        <v/>
      </c>
      <c r="D433" s="6" t="str">
        <f t="shared" si="12"/>
        <v/>
      </c>
      <c r="E433" s="6" t="str">
        <f t="shared" si="13"/>
        <v/>
      </c>
    </row>
    <row r="434" spans="2:5" x14ac:dyDescent="0.25">
      <c r="B434" s="6" t="str">
        <f>IF(A434="","",'Cálculos y conversiones'!$B$14)</f>
        <v/>
      </c>
      <c r="C434" s="6" t="str">
        <f>IF(A434="","",'Cálculos y conversiones'!$B$11*Tabla!E433)</f>
        <v/>
      </c>
      <c r="D434" s="6" t="str">
        <f t="shared" si="12"/>
        <v/>
      </c>
      <c r="E434" s="6" t="str">
        <f t="shared" si="13"/>
        <v/>
      </c>
    </row>
    <row r="435" spans="2:5" x14ac:dyDescent="0.25">
      <c r="B435" s="6" t="str">
        <f>IF(A435="","",'Cálculos y conversiones'!$B$14)</f>
        <v/>
      </c>
      <c r="C435" s="6" t="str">
        <f>IF(A435="","",'Cálculos y conversiones'!$B$11*Tabla!E434)</f>
        <v/>
      </c>
      <c r="D435" s="6" t="str">
        <f t="shared" si="12"/>
        <v/>
      </c>
      <c r="E435" s="6" t="str">
        <f t="shared" si="13"/>
        <v/>
      </c>
    </row>
    <row r="436" spans="2:5" x14ac:dyDescent="0.25">
      <c r="B436" s="6" t="str">
        <f>IF(A436="","",'Cálculos y conversiones'!$B$14)</f>
        <v/>
      </c>
      <c r="C436" s="6" t="str">
        <f>IF(A436="","",'Cálculos y conversiones'!$B$11*Tabla!E435)</f>
        <v/>
      </c>
      <c r="D436" s="6" t="str">
        <f t="shared" si="12"/>
        <v/>
      </c>
      <c r="E436" s="6" t="str">
        <f t="shared" si="13"/>
        <v/>
      </c>
    </row>
    <row r="437" spans="2:5" x14ac:dyDescent="0.25">
      <c r="B437" s="6" t="str">
        <f>IF(A437="","",'Cálculos y conversiones'!$B$14)</f>
        <v/>
      </c>
      <c r="C437" s="6" t="str">
        <f>IF(A437="","",'Cálculos y conversiones'!$B$11*Tabla!E436)</f>
        <v/>
      </c>
      <c r="D437" s="6" t="str">
        <f t="shared" si="12"/>
        <v/>
      </c>
      <c r="E437" s="6" t="str">
        <f t="shared" si="13"/>
        <v/>
      </c>
    </row>
    <row r="438" spans="2:5" x14ac:dyDescent="0.25">
      <c r="B438" s="6" t="str">
        <f>IF(A438="","",'Cálculos y conversiones'!$B$14)</f>
        <v/>
      </c>
      <c r="C438" s="6" t="str">
        <f>IF(A438="","",'Cálculos y conversiones'!$B$11*Tabla!E437)</f>
        <v/>
      </c>
      <c r="D438" s="6" t="str">
        <f t="shared" si="12"/>
        <v/>
      </c>
      <c r="E438" s="6" t="str">
        <f t="shared" si="13"/>
        <v/>
      </c>
    </row>
    <row r="439" spans="2:5" x14ac:dyDescent="0.25">
      <c r="B439" s="6" t="str">
        <f>IF(A439="","",'Cálculos y conversiones'!$B$14)</f>
        <v/>
      </c>
      <c r="C439" s="6" t="str">
        <f>IF(A439="","",'Cálculos y conversiones'!$B$11*Tabla!E438)</f>
        <v/>
      </c>
      <c r="D439" s="6" t="str">
        <f t="shared" si="12"/>
        <v/>
      </c>
      <c r="E439" s="6" t="str">
        <f t="shared" si="13"/>
        <v/>
      </c>
    </row>
    <row r="440" spans="2:5" x14ac:dyDescent="0.25">
      <c r="B440" s="6" t="str">
        <f>IF(A440="","",'Cálculos y conversiones'!$B$14)</f>
        <v/>
      </c>
      <c r="C440" s="6" t="str">
        <f>IF(A440="","",'Cálculos y conversiones'!$B$11*Tabla!E439)</f>
        <v/>
      </c>
      <c r="D440" s="6" t="str">
        <f t="shared" si="12"/>
        <v/>
      </c>
      <c r="E440" s="6" t="str">
        <f t="shared" si="13"/>
        <v/>
      </c>
    </row>
    <row r="441" spans="2:5" x14ac:dyDescent="0.25">
      <c r="B441" s="6" t="str">
        <f>IF(A441="","",'Cálculos y conversiones'!$B$14)</f>
        <v/>
      </c>
      <c r="C441" s="6" t="str">
        <f>IF(A441="","",'Cálculos y conversiones'!$B$11*Tabla!E440)</f>
        <v/>
      </c>
      <c r="D441" s="6" t="str">
        <f t="shared" si="12"/>
        <v/>
      </c>
      <c r="E441" s="6" t="str">
        <f t="shared" si="13"/>
        <v/>
      </c>
    </row>
    <row r="442" spans="2:5" x14ac:dyDescent="0.25">
      <c r="B442" s="6" t="str">
        <f>IF(A442="","",'Cálculos y conversiones'!$B$14)</f>
        <v/>
      </c>
      <c r="C442" s="6" t="str">
        <f>IF(A442="","",'Cálculos y conversiones'!$B$11*Tabla!E441)</f>
        <v/>
      </c>
      <c r="D442" s="6" t="str">
        <f t="shared" si="12"/>
        <v/>
      </c>
      <c r="E442" s="6" t="str">
        <f t="shared" si="13"/>
        <v/>
      </c>
    </row>
    <row r="443" spans="2:5" x14ac:dyDescent="0.25">
      <c r="B443" s="6" t="str">
        <f>IF(A443="","",'Cálculos y conversiones'!$B$14)</f>
        <v/>
      </c>
      <c r="C443" s="6" t="str">
        <f>IF(A443="","",'Cálculos y conversiones'!$B$11*Tabla!E442)</f>
        <v/>
      </c>
      <c r="D443" s="6" t="str">
        <f t="shared" si="12"/>
        <v/>
      </c>
      <c r="E443" s="6" t="str">
        <f t="shared" si="13"/>
        <v/>
      </c>
    </row>
    <row r="444" spans="2:5" x14ac:dyDescent="0.25">
      <c r="B444" s="6" t="str">
        <f>IF(A444="","",'Cálculos y conversiones'!$B$14)</f>
        <v/>
      </c>
      <c r="C444" s="6" t="str">
        <f>IF(A444="","",'Cálculos y conversiones'!$B$11*Tabla!E443)</f>
        <v/>
      </c>
      <c r="D444" s="6" t="str">
        <f t="shared" si="12"/>
        <v/>
      </c>
      <c r="E444" s="6" t="str">
        <f t="shared" si="13"/>
        <v/>
      </c>
    </row>
    <row r="445" spans="2:5" x14ac:dyDescent="0.25">
      <c r="B445" s="6" t="str">
        <f>IF(A445="","",'Cálculos y conversiones'!$B$14)</f>
        <v/>
      </c>
      <c r="C445" s="6" t="str">
        <f>IF(A445="","",'Cálculos y conversiones'!$B$11*Tabla!E444)</f>
        <v/>
      </c>
      <c r="D445" s="6" t="str">
        <f t="shared" si="12"/>
        <v/>
      </c>
      <c r="E445" s="6" t="str">
        <f t="shared" si="13"/>
        <v/>
      </c>
    </row>
    <row r="446" spans="2:5" x14ac:dyDescent="0.25">
      <c r="B446" s="6" t="str">
        <f>IF(A446="","",'Cálculos y conversiones'!$B$14)</f>
        <v/>
      </c>
      <c r="C446" s="6" t="str">
        <f>IF(A446="","",'Cálculos y conversiones'!$B$11*Tabla!E445)</f>
        <v/>
      </c>
      <c r="D446" s="6" t="str">
        <f t="shared" si="12"/>
        <v/>
      </c>
      <c r="E446" s="6" t="str">
        <f t="shared" si="13"/>
        <v/>
      </c>
    </row>
    <row r="447" spans="2:5" x14ac:dyDescent="0.25">
      <c r="B447" s="6" t="str">
        <f>IF(A447="","",'Cálculos y conversiones'!$B$14)</f>
        <v/>
      </c>
      <c r="C447" s="6" t="str">
        <f>IF(A447="","",'Cálculos y conversiones'!$B$11*Tabla!E446)</f>
        <v/>
      </c>
      <c r="D447" s="6" t="str">
        <f t="shared" si="12"/>
        <v/>
      </c>
      <c r="E447" s="6" t="str">
        <f t="shared" si="13"/>
        <v/>
      </c>
    </row>
    <row r="448" spans="2:5" x14ac:dyDescent="0.25">
      <c r="B448" s="6" t="str">
        <f>IF(A448="","",'Cálculos y conversiones'!$B$14)</f>
        <v/>
      </c>
      <c r="C448" s="6" t="str">
        <f>IF(A448="","",'Cálculos y conversiones'!$B$11*Tabla!E447)</f>
        <v/>
      </c>
      <c r="D448" s="6" t="str">
        <f t="shared" si="12"/>
        <v/>
      </c>
      <c r="E448" s="6" t="str">
        <f t="shared" si="13"/>
        <v/>
      </c>
    </row>
    <row r="449" spans="2:5" x14ac:dyDescent="0.25">
      <c r="B449" s="6" t="str">
        <f>IF(A449="","",'Cálculos y conversiones'!$B$14)</f>
        <v/>
      </c>
      <c r="C449" s="6" t="str">
        <f>IF(A449="","",'Cálculos y conversiones'!$B$11*Tabla!E448)</f>
        <v/>
      </c>
      <c r="D449" s="6" t="str">
        <f t="shared" si="12"/>
        <v/>
      </c>
      <c r="E449" s="6" t="str">
        <f t="shared" si="13"/>
        <v/>
      </c>
    </row>
    <row r="450" spans="2:5" x14ac:dyDescent="0.25">
      <c r="B450" s="6" t="str">
        <f>IF(A450="","",'Cálculos y conversiones'!$B$14)</f>
        <v/>
      </c>
      <c r="C450" s="6" t="str">
        <f>IF(A450="","",'Cálculos y conversiones'!$B$11*Tabla!E449)</f>
        <v/>
      </c>
      <c r="D450" s="6" t="str">
        <f t="shared" si="12"/>
        <v/>
      </c>
      <c r="E450" s="6" t="str">
        <f t="shared" si="13"/>
        <v/>
      </c>
    </row>
    <row r="451" spans="2:5" x14ac:dyDescent="0.25">
      <c r="B451" s="6" t="str">
        <f>IF(A451="","",'Cálculos y conversiones'!$B$14)</f>
        <v/>
      </c>
      <c r="C451" s="6" t="str">
        <f>IF(A451="","",'Cálculos y conversiones'!$B$11*Tabla!E450)</f>
        <v/>
      </c>
      <c r="D451" s="6" t="str">
        <f t="shared" si="12"/>
        <v/>
      </c>
      <c r="E451" s="6" t="str">
        <f t="shared" si="13"/>
        <v/>
      </c>
    </row>
    <row r="452" spans="2:5" x14ac:dyDescent="0.25">
      <c r="B452" s="6" t="str">
        <f>IF(A452="","",'Cálculos y conversiones'!$B$14)</f>
        <v/>
      </c>
      <c r="C452" s="6" t="str">
        <f>IF(A452="","",'Cálculos y conversiones'!$B$11*Tabla!E451)</f>
        <v/>
      </c>
      <c r="D452" s="6" t="str">
        <f t="shared" si="12"/>
        <v/>
      </c>
      <c r="E452" s="6" t="str">
        <f t="shared" si="13"/>
        <v/>
      </c>
    </row>
    <row r="453" spans="2:5" x14ac:dyDescent="0.25">
      <c r="B453" s="6" t="str">
        <f>IF(A453="","",'Cálculos y conversiones'!$B$14)</f>
        <v/>
      </c>
      <c r="C453" s="6" t="str">
        <f>IF(A453="","",'Cálculos y conversiones'!$B$11*Tabla!E452)</f>
        <v/>
      </c>
      <c r="D453" s="6" t="str">
        <f t="shared" si="12"/>
        <v/>
      </c>
      <c r="E453" s="6" t="str">
        <f t="shared" si="13"/>
        <v/>
      </c>
    </row>
    <row r="454" spans="2:5" x14ac:dyDescent="0.25">
      <c r="B454" s="6" t="str">
        <f>IF(A454="","",'Cálculos y conversiones'!$B$14)</f>
        <v/>
      </c>
      <c r="C454" s="6" t="str">
        <f>IF(A454="","",'Cálculos y conversiones'!$B$11*Tabla!E453)</f>
        <v/>
      </c>
      <c r="D454" s="6" t="str">
        <f t="shared" si="12"/>
        <v/>
      </c>
      <c r="E454" s="6" t="str">
        <f t="shared" si="13"/>
        <v/>
      </c>
    </row>
    <row r="455" spans="2:5" x14ac:dyDescent="0.25">
      <c r="B455" s="6" t="str">
        <f>IF(A455="","",'Cálculos y conversiones'!$B$14)</f>
        <v/>
      </c>
      <c r="C455" s="6" t="str">
        <f>IF(A455="","",'Cálculos y conversiones'!$B$11*Tabla!E454)</f>
        <v/>
      </c>
      <c r="D455" s="6" t="str">
        <f t="shared" si="12"/>
        <v/>
      </c>
      <c r="E455" s="6" t="str">
        <f t="shared" si="13"/>
        <v/>
      </c>
    </row>
    <row r="456" spans="2:5" x14ac:dyDescent="0.25">
      <c r="B456" s="6" t="str">
        <f>IF(A456="","",'Cálculos y conversiones'!$B$14)</f>
        <v/>
      </c>
      <c r="C456" s="6" t="str">
        <f>IF(A456="","",'Cálculos y conversiones'!$B$11*Tabla!E455)</f>
        <v/>
      </c>
      <c r="D456" s="6" t="str">
        <f t="shared" si="12"/>
        <v/>
      </c>
      <c r="E456" s="6" t="str">
        <f t="shared" si="13"/>
        <v/>
      </c>
    </row>
    <row r="457" spans="2:5" x14ac:dyDescent="0.25">
      <c r="B457" s="6" t="str">
        <f>IF(A457="","",'Cálculos y conversiones'!$B$14)</f>
        <v/>
      </c>
      <c r="C457" s="6" t="str">
        <f>IF(A457="","",'Cálculos y conversiones'!$B$11*Tabla!E456)</f>
        <v/>
      </c>
      <c r="D457" s="6" t="str">
        <f t="shared" si="12"/>
        <v/>
      </c>
      <c r="E457" s="6" t="str">
        <f t="shared" si="13"/>
        <v/>
      </c>
    </row>
    <row r="458" spans="2:5" x14ac:dyDescent="0.25">
      <c r="B458" s="6" t="str">
        <f>IF(A458="","",'Cálculos y conversiones'!$B$14)</f>
        <v/>
      </c>
      <c r="C458" s="6" t="str">
        <f>IF(A458="","",'Cálculos y conversiones'!$B$11*Tabla!E457)</f>
        <v/>
      </c>
      <c r="D458" s="6" t="str">
        <f t="shared" ref="D458:D521" si="14">IF(A458="","",B458-C458)</f>
        <v/>
      </c>
      <c r="E458" s="6" t="str">
        <f t="shared" ref="E458:E521" si="15">IF(A458="","",E457-D458)</f>
        <v/>
      </c>
    </row>
    <row r="459" spans="2:5" x14ac:dyDescent="0.25">
      <c r="B459" s="6" t="str">
        <f>IF(A459="","",'Cálculos y conversiones'!$B$14)</f>
        <v/>
      </c>
      <c r="C459" s="6" t="str">
        <f>IF(A459="","",'Cálculos y conversiones'!$B$11*Tabla!E458)</f>
        <v/>
      </c>
      <c r="D459" s="6" t="str">
        <f t="shared" si="14"/>
        <v/>
      </c>
      <c r="E459" s="6" t="str">
        <f t="shared" si="15"/>
        <v/>
      </c>
    </row>
    <row r="460" spans="2:5" x14ac:dyDescent="0.25">
      <c r="B460" s="6" t="str">
        <f>IF(A460="","",'Cálculos y conversiones'!$B$14)</f>
        <v/>
      </c>
      <c r="C460" s="6" t="str">
        <f>IF(A460="","",'Cálculos y conversiones'!$B$11*Tabla!E459)</f>
        <v/>
      </c>
      <c r="D460" s="6" t="str">
        <f t="shared" si="14"/>
        <v/>
      </c>
      <c r="E460" s="6" t="str">
        <f t="shared" si="15"/>
        <v/>
      </c>
    </row>
    <row r="461" spans="2:5" x14ac:dyDescent="0.25">
      <c r="B461" s="6" t="str">
        <f>IF(A461="","",'Cálculos y conversiones'!$B$14)</f>
        <v/>
      </c>
      <c r="C461" s="6" t="str">
        <f>IF(A461="","",'Cálculos y conversiones'!$B$11*Tabla!E460)</f>
        <v/>
      </c>
      <c r="D461" s="6" t="str">
        <f t="shared" si="14"/>
        <v/>
      </c>
      <c r="E461" s="6" t="str">
        <f t="shared" si="15"/>
        <v/>
      </c>
    </row>
    <row r="462" spans="2:5" x14ac:dyDescent="0.25">
      <c r="B462" s="6" t="str">
        <f>IF(A462="","",'Cálculos y conversiones'!$B$14)</f>
        <v/>
      </c>
      <c r="C462" s="6" t="str">
        <f>IF(A462="","",'Cálculos y conversiones'!$B$11*Tabla!E461)</f>
        <v/>
      </c>
      <c r="D462" s="6" t="str">
        <f t="shared" si="14"/>
        <v/>
      </c>
      <c r="E462" s="6" t="str">
        <f t="shared" si="15"/>
        <v/>
      </c>
    </row>
    <row r="463" spans="2:5" x14ac:dyDescent="0.25">
      <c r="B463" s="6" t="str">
        <f>IF(A463="","",'Cálculos y conversiones'!$B$14)</f>
        <v/>
      </c>
      <c r="C463" s="6" t="str">
        <f>IF(A463="","",'Cálculos y conversiones'!$B$11*Tabla!E462)</f>
        <v/>
      </c>
      <c r="D463" s="6" t="str">
        <f t="shared" si="14"/>
        <v/>
      </c>
      <c r="E463" s="6" t="str">
        <f t="shared" si="15"/>
        <v/>
      </c>
    </row>
    <row r="464" spans="2:5" x14ac:dyDescent="0.25">
      <c r="B464" s="6" t="str">
        <f>IF(A464="","",'Cálculos y conversiones'!$B$14)</f>
        <v/>
      </c>
      <c r="C464" s="6" t="str">
        <f>IF(A464="","",'Cálculos y conversiones'!$B$11*Tabla!E463)</f>
        <v/>
      </c>
      <c r="D464" s="6" t="str">
        <f t="shared" si="14"/>
        <v/>
      </c>
      <c r="E464" s="6" t="str">
        <f t="shared" si="15"/>
        <v/>
      </c>
    </row>
    <row r="465" spans="2:5" x14ac:dyDescent="0.25">
      <c r="B465" s="6" t="str">
        <f>IF(A465="","",'Cálculos y conversiones'!$B$14)</f>
        <v/>
      </c>
      <c r="C465" s="6" t="str">
        <f>IF(A465="","",'Cálculos y conversiones'!$B$11*Tabla!E464)</f>
        <v/>
      </c>
      <c r="D465" s="6" t="str">
        <f t="shared" si="14"/>
        <v/>
      </c>
      <c r="E465" s="6" t="str">
        <f t="shared" si="15"/>
        <v/>
      </c>
    </row>
    <row r="466" spans="2:5" x14ac:dyDescent="0.25">
      <c r="B466" s="6" t="str">
        <f>IF(A466="","",'Cálculos y conversiones'!$B$14)</f>
        <v/>
      </c>
      <c r="C466" s="6" t="str">
        <f>IF(A466="","",'Cálculos y conversiones'!$B$11*Tabla!E465)</f>
        <v/>
      </c>
      <c r="D466" s="6" t="str">
        <f t="shared" si="14"/>
        <v/>
      </c>
      <c r="E466" s="6" t="str">
        <f t="shared" si="15"/>
        <v/>
      </c>
    </row>
    <row r="467" spans="2:5" x14ac:dyDescent="0.25">
      <c r="B467" s="6" t="str">
        <f>IF(A467="","",'Cálculos y conversiones'!$B$14)</f>
        <v/>
      </c>
      <c r="C467" s="6" t="str">
        <f>IF(A467="","",'Cálculos y conversiones'!$B$11*Tabla!E466)</f>
        <v/>
      </c>
      <c r="D467" s="6" t="str">
        <f t="shared" si="14"/>
        <v/>
      </c>
      <c r="E467" s="6" t="str">
        <f t="shared" si="15"/>
        <v/>
      </c>
    </row>
    <row r="468" spans="2:5" x14ac:dyDescent="0.25">
      <c r="B468" s="6" t="str">
        <f>IF(A468="","",'Cálculos y conversiones'!$B$14)</f>
        <v/>
      </c>
      <c r="C468" s="6" t="str">
        <f>IF(A468="","",'Cálculos y conversiones'!$B$11*Tabla!E467)</f>
        <v/>
      </c>
      <c r="D468" s="6" t="str">
        <f t="shared" si="14"/>
        <v/>
      </c>
      <c r="E468" s="6" t="str">
        <f t="shared" si="15"/>
        <v/>
      </c>
    </row>
    <row r="469" spans="2:5" x14ac:dyDescent="0.25">
      <c r="B469" s="6" t="str">
        <f>IF(A469="","",'Cálculos y conversiones'!$B$14)</f>
        <v/>
      </c>
      <c r="C469" s="6" t="str">
        <f>IF(A469="","",'Cálculos y conversiones'!$B$11*Tabla!E468)</f>
        <v/>
      </c>
      <c r="D469" s="6" t="str">
        <f t="shared" si="14"/>
        <v/>
      </c>
      <c r="E469" s="6" t="str">
        <f t="shared" si="15"/>
        <v/>
      </c>
    </row>
    <row r="470" spans="2:5" x14ac:dyDescent="0.25">
      <c r="B470" s="6" t="str">
        <f>IF(A470="","",'Cálculos y conversiones'!$B$14)</f>
        <v/>
      </c>
      <c r="C470" s="6" t="str">
        <f>IF(A470="","",'Cálculos y conversiones'!$B$11*Tabla!E469)</f>
        <v/>
      </c>
      <c r="D470" s="6" t="str">
        <f t="shared" si="14"/>
        <v/>
      </c>
      <c r="E470" s="6" t="str">
        <f t="shared" si="15"/>
        <v/>
      </c>
    </row>
    <row r="471" spans="2:5" x14ac:dyDescent="0.25">
      <c r="B471" s="6" t="str">
        <f>IF(A471="","",'Cálculos y conversiones'!$B$14)</f>
        <v/>
      </c>
      <c r="C471" s="6" t="str">
        <f>IF(A471="","",'Cálculos y conversiones'!$B$11*Tabla!E470)</f>
        <v/>
      </c>
      <c r="D471" s="6" t="str">
        <f t="shared" si="14"/>
        <v/>
      </c>
      <c r="E471" s="6" t="str">
        <f t="shared" si="15"/>
        <v/>
      </c>
    </row>
    <row r="472" spans="2:5" x14ac:dyDescent="0.25">
      <c r="B472" s="6" t="str">
        <f>IF(A472="","",'Cálculos y conversiones'!$B$14)</f>
        <v/>
      </c>
      <c r="C472" s="6" t="str">
        <f>IF(A472="","",'Cálculos y conversiones'!$B$11*Tabla!E471)</f>
        <v/>
      </c>
      <c r="D472" s="6" t="str">
        <f t="shared" si="14"/>
        <v/>
      </c>
      <c r="E472" s="6" t="str">
        <f t="shared" si="15"/>
        <v/>
      </c>
    </row>
    <row r="473" spans="2:5" x14ac:dyDescent="0.25">
      <c r="B473" s="6" t="str">
        <f>IF(A473="","",'Cálculos y conversiones'!$B$14)</f>
        <v/>
      </c>
      <c r="C473" s="6" t="str">
        <f>IF(A473="","",'Cálculos y conversiones'!$B$11*Tabla!E472)</f>
        <v/>
      </c>
      <c r="D473" s="6" t="str">
        <f t="shared" si="14"/>
        <v/>
      </c>
      <c r="E473" s="6" t="str">
        <f t="shared" si="15"/>
        <v/>
      </c>
    </row>
    <row r="474" spans="2:5" x14ac:dyDescent="0.25">
      <c r="B474" s="6" t="str">
        <f>IF(A474="","",'Cálculos y conversiones'!$B$14)</f>
        <v/>
      </c>
      <c r="C474" s="6" t="str">
        <f>IF(A474="","",'Cálculos y conversiones'!$B$11*Tabla!E473)</f>
        <v/>
      </c>
      <c r="D474" s="6" t="str">
        <f t="shared" si="14"/>
        <v/>
      </c>
      <c r="E474" s="6" t="str">
        <f t="shared" si="15"/>
        <v/>
      </c>
    </row>
    <row r="475" spans="2:5" x14ac:dyDescent="0.25">
      <c r="B475" s="6" t="str">
        <f>IF(A475="","",'Cálculos y conversiones'!$B$14)</f>
        <v/>
      </c>
      <c r="C475" s="6" t="str">
        <f>IF(A475="","",'Cálculos y conversiones'!$B$11*Tabla!E474)</f>
        <v/>
      </c>
      <c r="D475" s="6" t="str">
        <f t="shared" si="14"/>
        <v/>
      </c>
      <c r="E475" s="6" t="str">
        <f t="shared" si="15"/>
        <v/>
      </c>
    </row>
    <row r="476" spans="2:5" x14ac:dyDescent="0.25">
      <c r="B476" s="6" t="str">
        <f>IF(A476="","",'Cálculos y conversiones'!$B$14)</f>
        <v/>
      </c>
      <c r="C476" s="6" t="str">
        <f>IF(A476="","",'Cálculos y conversiones'!$B$11*Tabla!E475)</f>
        <v/>
      </c>
      <c r="D476" s="6" t="str">
        <f t="shared" si="14"/>
        <v/>
      </c>
      <c r="E476" s="6" t="str">
        <f t="shared" si="15"/>
        <v/>
      </c>
    </row>
    <row r="477" spans="2:5" x14ac:dyDescent="0.25">
      <c r="B477" s="6" t="str">
        <f>IF(A477="","",'Cálculos y conversiones'!$B$14)</f>
        <v/>
      </c>
      <c r="C477" s="6" t="str">
        <f>IF(A477="","",'Cálculos y conversiones'!$B$11*Tabla!E476)</f>
        <v/>
      </c>
      <c r="D477" s="6" t="str">
        <f t="shared" si="14"/>
        <v/>
      </c>
      <c r="E477" s="6" t="str">
        <f t="shared" si="15"/>
        <v/>
      </c>
    </row>
    <row r="478" spans="2:5" x14ac:dyDescent="0.25">
      <c r="B478" s="6" t="str">
        <f>IF(A478="","",'Cálculos y conversiones'!$B$14)</f>
        <v/>
      </c>
      <c r="C478" s="6" t="str">
        <f>IF(A478="","",'Cálculos y conversiones'!$B$11*Tabla!E477)</f>
        <v/>
      </c>
      <c r="D478" s="6" t="str">
        <f t="shared" si="14"/>
        <v/>
      </c>
      <c r="E478" s="6" t="str">
        <f t="shared" si="15"/>
        <v/>
      </c>
    </row>
    <row r="479" spans="2:5" x14ac:dyDescent="0.25">
      <c r="B479" s="6" t="str">
        <f>IF(A479="","",'Cálculos y conversiones'!$B$14)</f>
        <v/>
      </c>
      <c r="C479" s="6" t="str">
        <f>IF(A479="","",'Cálculos y conversiones'!$B$11*Tabla!E478)</f>
        <v/>
      </c>
      <c r="D479" s="6" t="str">
        <f t="shared" si="14"/>
        <v/>
      </c>
      <c r="E479" s="6" t="str">
        <f t="shared" si="15"/>
        <v/>
      </c>
    </row>
    <row r="480" spans="2:5" x14ac:dyDescent="0.25">
      <c r="B480" s="6" t="str">
        <f>IF(A480="","",'Cálculos y conversiones'!$B$14)</f>
        <v/>
      </c>
      <c r="C480" s="6" t="str">
        <f>IF(A480="","",'Cálculos y conversiones'!$B$11*Tabla!E479)</f>
        <v/>
      </c>
      <c r="D480" s="6" t="str">
        <f t="shared" si="14"/>
        <v/>
      </c>
      <c r="E480" s="6" t="str">
        <f t="shared" si="15"/>
        <v/>
      </c>
    </row>
    <row r="481" spans="2:5" x14ac:dyDescent="0.25">
      <c r="B481" s="6" t="str">
        <f>IF(A481="","",'Cálculos y conversiones'!$B$14)</f>
        <v/>
      </c>
      <c r="C481" s="6" t="str">
        <f>IF(A481="","",'Cálculos y conversiones'!$B$11*Tabla!E480)</f>
        <v/>
      </c>
      <c r="D481" s="6" t="str">
        <f t="shared" si="14"/>
        <v/>
      </c>
      <c r="E481" s="6" t="str">
        <f t="shared" si="15"/>
        <v/>
      </c>
    </row>
    <row r="482" spans="2:5" x14ac:dyDescent="0.25">
      <c r="B482" s="6" t="str">
        <f>IF(A482="","",'Cálculos y conversiones'!$B$14)</f>
        <v/>
      </c>
      <c r="C482" s="6" t="str">
        <f>IF(A482="","",'Cálculos y conversiones'!$B$11*Tabla!E481)</f>
        <v/>
      </c>
      <c r="D482" s="6" t="str">
        <f t="shared" si="14"/>
        <v/>
      </c>
      <c r="E482" s="6" t="str">
        <f t="shared" si="15"/>
        <v/>
      </c>
    </row>
    <row r="483" spans="2:5" x14ac:dyDescent="0.25">
      <c r="B483" s="6" t="str">
        <f>IF(A483="","",'Cálculos y conversiones'!$B$14)</f>
        <v/>
      </c>
      <c r="C483" s="6" t="str">
        <f>IF(A483="","",'Cálculos y conversiones'!$B$11*Tabla!E482)</f>
        <v/>
      </c>
      <c r="D483" s="6" t="str">
        <f t="shared" si="14"/>
        <v/>
      </c>
      <c r="E483" s="6" t="str">
        <f t="shared" si="15"/>
        <v/>
      </c>
    </row>
    <row r="484" spans="2:5" x14ac:dyDescent="0.25">
      <c r="B484" s="6" t="str">
        <f>IF(A484="","",'Cálculos y conversiones'!$B$14)</f>
        <v/>
      </c>
      <c r="C484" s="6" t="str">
        <f>IF(A484="","",'Cálculos y conversiones'!$B$11*Tabla!E483)</f>
        <v/>
      </c>
      <c r="D484" s="6" t="str">
        <f t="shared" si="14"/>
        <v/>
      </c>
      <c r="E484" s="6" t="str">
        <f t="shared" si="15"/>
        <v/>
      </c>
    </row>
    <row r="485" spans="2:5" x14ac:dyDescent="0.25">
      <c r="B485" s="6" t="str">
        <f>IF(A485="","",'Cálculos y conversiones'!$B$14)</f>
        <v/>
      </c>
      <c r="C485" s="6" t="str">
        <f>IF(A485="","",'Cálculos y conversiones'!$B$11*Tabla!E484)</f>
        <v/>
      </c>
      <c r="D485" s="6" t="str">
        <f t="shared" si="14"/>
        <v/>
      </c>
      <c r="E485" s="6" t="str">
        <f t="shared" si="15"/>
        <v/>
      </c>
    </row>
    <row r="486" spans="2:5" x14ac:dyDescent="0.25">
      <c r="B486" s="6" t="str">
        <f>IF(A486="","",'Cálculos y conversiones'!$B$14)</f>
        <v/>
      </c>
      <c r="C486" s="6" t="str">
        <f>IF(A486="","",'Cálculos y conversiones'!$B$11*Tabla!E485)</f>
        <v/>
      </c>
      <c r="D486" s="6" t="str">
        <f t="shared" si="14"/>
        <v/>
      </c>
      <c r="E486" s="6" t="str">
        <f t="shared" si="15"/>
        <v/>
      </c>
    </row>
    <row r="487" spans="2:5" x14ac:dyDescent="0.25">
      <c r="B487" s="6" t="str">
        <f>IF(A487="","",'Cálculos y conversiones'!$B$14)</f>
        <v/>
      </c>
      <c r="C487" s="6" t="str">
        <f>IF(A487="","",'Cálculos y conversiones'!$B$11*Tabla!E486)</f>
        <v/>
      </c>
      <c r="D487" s="6" t="str">
        <f t="shared" si="14"/>
        <v/>
      </c>
      <c r="E487" s="6" t="str">
        <f t="shared" si="15"/>
        <v/>
      </c>
    </row>
    <row r="488" spans="2:5" x14ac:dyDescent="0.25">
      <c r="B488" s="6" t="str">
        <f>IF(A488="","",'Cálculos y conversiones'!$B$14)</f>
        <v/>
      </c>
      <c r="C488" s="6" t="str">
        <f>IF(A488="","",'Cálculos y conversiones'!$B$11*Tabla!E487)</f>
        <v/>
      </c>
      <c r="D488" s="6" t="str">
        <f t="shared" si="14"/>
        <v/>
      </c>
      <c r="E488" s="6" t="str">
        <f t="shared" si="15"/>
        <v/>
      </c>
    </row>
    <row r="489" spans="2:5" x14ac:dyDescent="0.25">
      <c r="B489" s="6" t="str">
        <f>IF(A489="","",'Cálculos y conversiones'!$B$14)</f>
        <v/>
      </c>
      <c r="C489" s="6" t="str">
        <f>IF(A489="","",'Cálculos y conversiones'!$B$11*Tabla!E488)</f>
        <v/>
      </c>
      <c r="D489" s="6" t="str">
        <f t="shared" si="14"/>
        <v/>
      </c>
      <c r="E489" s="6" t="str">
        <f t="shared" si="15"/>
        <v/>
      </c>
    </row>
    <row r="490" spans="2:5" x14ac:dyDescent="0.25">
      <c r="B490" s="6" t="str">
        <f>IF(A490="","",'Cálculos y conversiones'!$B$14)</f>
        <v/>
      </c>
      <c r="C490" s="6" t="str">
        <f>IF(A490="","",'Cálculos y conversiones'!$B$11*Tabla!E489)</f>
        <v/>
      </c>
      <c r="D490" s="6" t="str">
        <f t="shared" si="14"/>
        <v/>
      </c>
      <c r="E490" s="6" t="str">
        <f t="shared" si="15"/>
        <v/>
      </c>
    </row>
    <row r="491" spans="2:5" x14ac:dyDescent="0.25">
      <c r="B491" s="6" t="str">
        <f>IF(A491="","",'Cálculos y conversiones'!$B$14)</f>
        <v/>
      </c>
      <c r="C491" s="6" t="str">
        <f>IF(A491="","",'Cálculos y conversiones'!$B$11*Tabla!E490)</f>
        <v/>
      </c>
      <c r="D491" s="6" t="str">
        <f t="shared" si="14"/>
        <v/>
      </c>
      <c r="E491" s="6" t="str">
        <f t="shared" si="15"/>
        <v/>
      </c>
    </row>
    <row r="492" spans="2:5" x14ac:dyDescent="0.25">
      <c r="B492" s="6" t="str">
        <f>IF(A492="","",'Cálculos y conversiones'!$B$14)</f>
        <v/>
      </c>
      <c r="C492" s="6" t="str">
        <f>IF(A492="","",'Cálculos y conversiones'!$B$11*Tabla!E491)</f>
        <v/>
      </c>
      <c r="D492" s="6" t="str">
        <f t="shared" si="14"/>
        <v/>
      </c>
      <c r="E492" s="6" t="str">
        <f t="shared" si="15"/>
        <v/>
      </c>
    </row>
    <row r="493" spans="2:5" x14ac:dyDescent="0.25">
      <c r="B493" s="6" t="str">
        <f>IF(A493="","",'Cálculos y conversiones'!$B$14)</f>
        <v/>
      </c>
      <c r="C493" s="6" t="str">
        <f>IF(A493="","",'Cálculos y conversiones'!$B$11*Tabla!E492)</f>
        <v/>
      </c>
      <c r="D493" s="6" t="str">
        <f t="shared" si="14"/>
        <v/>
      </c>
      <c r="E493" s="6" t="str">
        <f t="shared" si="15"/>
        <v/>
      </c>
    </row>
    <row r="494" spans="2:5" x14ac:dyDescent="0.25">
      <c r="B494" s="6" t="str">
        <f>IF(A494="","",'Cálculos y conversiones'!$B$14)</f>
        <v/>
      </c>
      <c r="C494" s="6" t="str">
        <f>IF(A494="","",'Cálculos y conversiones'!$B$11*Tabla!E493)</f>
        <v/>
      </c>
      <c r="D494" s="6" t="str">
        <f t="shared" si="14"/>
        <v/>
      </c>
      <c r="E494" s="6" t="str">
        <f t="shared" si="15"/>
        <v/>
      </c>
    </row>
    <row r="495" spans="2:5" x14ac:dyDescent="0.25">
      <c r="B495" s="6" t="str">
        <f>IF(A495="","",'Cálculos y conversiones'!$B$14)</f>
        <v/>
      </c>
      <c r="C495" s="6" t="str">
        <f>IF(A495="","",'Cálculos y conversiones'!$B$11*Tabla!E494)</f>
        <v/>
      </c>
      <c r="D495" s="6" t="str">
        <f t="shared" si="14"/>
        <v/>
      </c>
      <c r="E495" s="6" t="str">
        <f t="shared" si="15"/>
        <v/>
      </c>
    </row>
    <row r="496" spans="2:5" x14ac:dyDescent="0.25">
      <c r="B496" s="6" t="str">
        <f>IF(A496="","",'Cálculos y conversiones'!$B$14)</f>
        <v/>
      </c>
      <c r="C496" s="6" t="str">
        <f>IF(A496="","",'Cálculos y conversiones'!$B$11*Tabla!E495)</f>
        <v/>
      </c>
      <c r="D496" s="6" t="str">
        <f t="shared" si="14"/>
        <v/>
      </c>
      <c r="E496" s="6" t="str">
        <f t="shared" si="15"/>
        <v/>
      </c>
    </row>
    <row r="497" spans="2:5" x14ac:dyDescent="0.25">
      <c r="B497" s="6" t="str">
        <f>IF(A497="","",'Cálculos y conversiones'!$B$14)</f>
        <v/>
      </c>
      <c r="C497" s="6" t="str">
        <f>IF(A497="","",'Cálculos y conversiones'!$B$11*Tabla!E496)</f>
        <v/>
      </c>
      <c r="D497" s="6" t="str">
        <f t="shared" si="14"/>
        <v/>
      </c>
      <c r="E497" s="6" t="str">
        <f t="shared" si="15"/>
        <v/>
      </c>
    </row>
    <row r="498" spans="2:5" x14ac:dyDescent="0.25">
      <c r="B498" s="6" t="str">
        <f>IF(A498="","",'Cálculos y conversiones'!$B$14)</f>
        <v/>
      </c>
      <c r="C498" s="6" t="str">
        <f>IF(A498="","",'Cálculos y conversiones'!$B$11*Tabla!E497)</f>
        <v/>
      </c>
      <c r="D498" s="6" t="str">
        <f t="shared" si="14"/>
        <v/>
      </c>
      <c r="E498" s="6" t="str">
        <f t="shared" si="15"/>
        <v/>
      </c>
    </row>
    <row r="499" spans="2:5" x14ac:dyDescent="0.25">
      <c r="B499" s="6" t="str">
        <f>IF(A499="","",'Cálculos y conversiones'!$B$14)</f>
        <v/>
      </c>
      <c r="C499" s="6" t="str">
        <f>IF(A499="","",'Cálculos y conversiones'!$B$11*Tabla!E498)</f>
        <v/>
      </c>
      <c r="D499" s="6" t="str">
        <f t="shared" si="14"/>
        <v/>
      </c>
      <c r="E499" s="6" t="str">
        <f t="shared" si="15"/>
        <v/>
      </c>
    </row>
    <row r="500" spans="2:5" x14ac:dyDescent="0.25">
      <c r="B500" s="6" t="str">
        <f>IF(A500="","",'Cálculos y conversiones'!$B$14)</f>
        <v/>
      </c>
      <c r="C500" s="6" t="str">
        <f>IF(A500="","",'Cálculos y conversiones'!$B$11*Tabla!E499)</f>
        <v/>
      </c>
      <c r="D500" s="6" t="str">
        <f t="shared" si="14"/>
        <v/>
      </c>
      <c r="E500" s="6" t="str">
        <f t="shared" si="15"/>
        <v/>
      </c>
    </row>
    <row r="501" spans="2:5" x14ac:dyDescent="0.25">
      <c r="B501" s="6" t="str">
        <f>IF(A501="","",'Cálculos y conversiones'!$B$14)</f>
        <v/>
      </c>
      <c r="C501" s="6" t="str">
        <f>IF(A501="","",'Cálculos y conversiones'!$B$11*Tabla!E500)</f>
        <v/>
      </c>
      <c r="D501" s="6" t="str">
        <f t="shared" si="14"/>
        <v/>
      </c>
      <c r="E501" s="6" t="str">
        <f t="shared" si="15"/>
        <v/>
      </c>
    </row>
    <row r="502" spans="2:5" x14ac:dyDescent="0.25">
      <c r="B502" s="6" t="str">
        <f>IF(A502="","",'Cálculos y conversiones'!$B$14)</f>
        <v/>
      </c>
      <c r="C502" s="6" t="str">
        <f>IF(A502="","",'Cálculos y conversiones'!$B$11*Tabla!E501)</f>
        <v/>
      </c>
      <c r="D502" s="6" t="str">
        <f t="shared" si="14"/>
        <v/>
      </c>
      <c r="E502" s="6" t="str">
        <f t="shared" si="15"/>
        <v/>
      </c>
    </row>
    <row r="503" spans="2:5" x14ac:dyDescent="0.25">
      <c r="B503" s="6" t="str">
        <f>IF(A503="","",'Cálculos y conversiones'!$B$14)</f>
        <v/>
      </c>
      <c r="C503" s="6" t="str">
        <f>IF(A503="","",'Cálculos y conversiones'!$B$11*Tabla!E502)</f>
        <v/>
      </c>
      <c r="D503" s="6" t="str">
        <f t="shared" si="14"/>
        <v/>
      </c>
      <c r="E503" s="6" t="str">
        <f t="shared" si="15"/>
        <v/>
      </c>
    </row>
    <row r="504" spans="2:5" x14ac:dyDescent="0.25">
      <c r="B504" s="6" t="str">
        <f>IF(A504="","",'Cálculos y conversiones'!$B$14)</f>
        <v/>
      </c>
      <c r="C504" s="6" t="str">
        <f>IF(A504="","",'Cálculos y conversiones'!$B$11*Tabla!E503)</f>
        <v/>
      </c>
      <c r="D504" s="6" t="str">
        <f t="shared" si="14"/>
        <v/>
      </c>
      <c r="E504" s="6" t="str">
        <f t="shared" si="15"/>
        <v/>
      </c>
    </row>
    <row r="505" spans="2:5" x14ac:dyDescent="0.25">
      <c r="B505" s="6" t="str">
        <f>IF(A505="","",'Cálculos y conversiones'!$B$14)</f>
        <v/>
      </c>
      <c r="C505" s="6" t="str">
        <f>IF(A505="","",'Cálculos y conversiones'!$B$11*Tabla!E504)</f>
        <v/>
      </c>
      <c r="D505" s="6" t="str">
        <f t="shared" si="14"/>
        <v/>
      </c>
      <c r="E505" s="6" t="str">
        <f t="shared" si="15"/>
        <v/>
      </c>
    </row>
    <row r="506" spans="2:5" x14ac:dyDescent="0.25">
      <c r="B506" s="6" t="str">
        <f>IF(A506="","",'Cálculos y conversiones'!$B$14)</f>
        <v/>
      </c>
      <c r="C506" s="6" t="str">
        <f>IF(A506="","",'Cálculos y conversiones'!$B$11*Tabla!E505)</f>
        <v/>
      </c>
      <c r="D506" s="6" t="str">
        <f t="shared" si="14"/>
        <v/>
      </c>
      <c r="E506" s="6" t="str">
        <f t="shared" si="15"/>
        <v/>
      </c>
    </row>
    <row r="507" spans="2:5" x14ac:dyDescent="0.25">
      <c r="B507" s="6" t="str">
        <f>IF(A507="","",'Cálculos y conversiones'!$B$14)</f>
        <v/>
      </c>
      <c r="C507" s="6" t="str">
        <f>IF(A507="","",'Cálculos y conversiones'!$B$11*Tabla!E506)</f>
        <v/>
      </c>
      <c r="D507" s="6" t="str">
        <f t="shared" si="14"/>
        <v/>
      </c>
      <c r="E507" s="6" t="str">
        <f t="shared" si="15"/>
        <v/>
      </c>
    </row>
    <row r="508" spans="2:5" x14ac:dyDescent="0.25">
      <c r="B508" s="6" t="str">
        <f>IF(A508="","",'Cálculos y conversiones'!$B$14)</f>
        <v/>
      </c>
      <c r="C508" s="6" t="str">
        <f>IF(A508="","",'Cálculos y conversiones'!$B$11*Tabla!E507)</f>
        <v/>
      </c>
      <c r="D508" s="6" t="str">
        <f t="shared" si="14"/>
        <v/>
      </c>
      <c r="E508" s="6" t="str">
        <f t="shared" si="15"/>
        <v/>
      </c>
    </row>
    <row r="509" spans="2:5" x14ac:dyDescent="0.25">
      <c r="B509" s="6" t="str">
        <f>IF(A509="","",'Cálculos y conversiones'!$B$14)</f>
        <v/>
      </c>
      <c r="C509" s="6" t="str">
        <f>IF(A509="","",'Cálculos y conversiones'!$B$11*Tabla!E508)</f>
        <v/>
      </c>
      <c r="D509" s="6" t="str">
        <f t="shared" si="14"/>
        <v/>
      </c>
      <c r="E509" s="6" t="str">
        <f t="shared" si="15"/>
        <v/>
      </c>
    </row>
    <row r="510" spans="2:5" x14ac:dyDescent="0.25">
      <c r="B510" s="6" t="str">
        <f>IF(A510="","",'Cálculos y conversiones'!$B$14)</f>
        <v/>
      </c>
      <c r="C510" s="6" t="str">
        <f>IF(A510="","",'Cálculos y conversiones'!$B$11*Tabla!E509)</f>
        <v/>
      </c>
      <c r="D510" s="6" t="str">
        <f t="shared" si="14"/>
        <v/>
      </c>
      <c r="E510" s="6" t="str">
        <f t="shared" si="15"/>
        <v/>
      </c>
    </row>
    <row r="511" spans="2:5" x14ac:dyDescent="0.25">
      <c r="B511" s="6" t="str">
        <f>IF(A511="","",'Cálculos y conversiones'!$B$14)</f>
        <v/>
      </c>
      <c r="C511" s="6" t="str">
        <f>IF(A511="","",'Cálculos y conversiones'!$B$11*Tabla!E510)</f>
        <v/>
      </c>
      <c r="D511" s="6" t="str">
        <f t="shared" si="14"/>
        <v/>
      </c>
      <c r="E511" s="6" t="str">
        <f t="shared" si="15"/>
        <v/>
      </c>
    </row>
    <row r="512" spans="2:5" x14ac:dyDescent="0.25">
      <c r="B512" s="6" t="str">
        <f>IF(A512="","",'Cálculos y conversiones'!$B$14)</f>
        <v/>
      </c>
      <c r="C512" s="6" t="str">
        <f>IF(A512="","",'Cálculos y conversiones'!$B$11*Tabla!E511)</f>
        <v/>
      </c>
      <c r="D512" s="6" t="str">
        <f t="shared" si="14"/>
        <v/>
      </c>
      <c r="E512" s="6" t="str">
        <f t="shared" si="15"/>
        <v/>
      </c>
    </row>
    <row r="513" spans="2:5" x14ac:dyDescent="0.25">
      <c r="B513" s="6" t="str">
        <f>IF(A513="","",'Cálculos y conversiones'!$B$14)</f>
        <v/>
      </c>
      <c r="C513" s="6" t="str">
        <f>IF(A513="","",'Cálculos y conversiones'!$B$11*Tabla!E512)</f>
        <v/>
      </c>
      <c r="D513" s="6" t="str">
        <f t="shared" si="14"/>
        <v/>
      </c>
      <c r="E513" s="6" t="str">
        <f t="shared" si="15"/>
        <v/>
      </c>
    </row>
    <row r="514" spans="2:5" x14ac:dyDescent="0.25">
      <c r="B514" s="6" t="str">
        <f>IF(A514="","",'Cálculos y conversiones'!$B$14)</f>
        <v/>
      </c>
      <c r="C514" s="6" t="str">
        <f>IF(A514="","",'Cálculos y conversiones'!$B$11*Tabla!E513)</f>
        <v/>
      </c>
      <c r="D514" s="6" t="str">
        <f t="shared" si="14"/>
        <v/>
      </c>
      <c r="E514" s="6" t="str">
        <f t="shared" si="15"/>
        <v/>
      </c>
    </row>
    <row r="515" spans="2:5" x14ac:dyDescent="0.25">
      <c r="B515" s="6" t="str">
        <f>IF(A515="","",'Cálculos y conversiones'!$B$14)</f>
        <v/>
      </c>
      <c r="C515" s="6" t="str">
        <f>IF(A515="","",'Cálculos y conversiones'!$B$11*Tabla!E514)</f>
        <v/>
      </c>
      <c r="D515" s="6" t="str">
        <f t="shared" si="14"/>
        <v/>
      </c>
      <c r="E515" s="6" t="str">
        <f t="shared" si="15"/>
        <v/>
      </c>
    </row>
    <row r="516" spans="2:5" x14ac:dyDescent="0.25">
      <c r="B516" s="6" t="str">
        <f>IF(A516="","",'Cálculos y conversiones'!$B$14)</f>
        <v/>
      </c>
      <c r="C516" s="6" t="str">
        <f>IF(A516="","",'Cálculos y conversiones'!$B$11*Tabla!E515)</f>
        <v/>
      </c>
      <c r="D516" s="6" t="str">
        <f t="shared" si="14"/>
        <v/>
      </c>
      <c r="E516" s="6" t="str">
        <f t="shared" si="15"/>
        <v/>
      </c>
    </row>
    <row r="517" spans="2:5" x14ac:dyDescent="0.25">
      <c r="B517" s="6" t="str">
        <f>IF(A517="","",'Cálculos y conversiones'!$B$14)</f>
        <v/>
      </c>
      <c r="C517" s="6" t="str">
        <f>IF(A517="","",'Cálculos y conversiones'!$B$11*Tabla!E516)</f>
        <v/>
      </c>
      <c r="D517" s="6" t="str">
        <f t="shared" si="14"/>
        <v/>
      </c>
      <c r="E517" s="6" t="str">
        <f t="shared" si="15"/>
        <v/>
      </c>
    </row>
    <row r="518" spans="2:5" x14ac:dyDescent="0.25">
      <c r="B518" s="6" t="str">
        <f>IF(A518="","",'Cálculos y conversiones'!$B$14)</f>
        <v/>
      </c>
      <c r="C518" s="6" t="str">
        <f>IF(A518="","",'Cálculos y conversiones'!$B$11*Tabla!E517)</f>
        <v/>
      </c>
      <c r="D518" s="6" t="str">
        <f t="shared" si="14"/>
        <v/>
      </c>
      <c r="E518" s="6" t="str">
        <f t="shared" si="15"/>
        <v/>
      </c>
    </row>
    <row r="519" spans="2:5" x14ac:dyDescent="0.25">
      <c r="B519" s="6" t="str">
        <f>IF(A519="","",'Cálculos y conversiones'!$B$14)</f>
        <v/>
      </c>
      <c r="C519" s="6" t="str">
        <f>IF(A519="","",'Cálculos y conversiones'!$B$11*Tabla!E518)</f>
        <v/>
      </c>
      <c r="D519" s="6" t="str">
        <f t="shared" si="14"/>
        <v/>
      </c>
      <c r="E519" s="6" t="str">
        <f t="shared" si="15"/>
        <v/>
      </c>
    </row>
    <row r="520" spans="2:5" x14ac:dyDescent="0.25">
      <c r="B520" s="6" t="str">
        <f>IF(A520="","",'Cálculos y conversiones'!$B$14)</f>
        <v/>
      </c>
      <c r="C520" s="6" t="str">
        <f>IF(A520="","",'Cálculos y conversiones'!$B$11*Tabla!E519)</f>
        <v/>
      </c>
      <c r="D520" s="6" t="str">
        <f t="shared" si="14"/>
        <v/>
      </c>
      <c r="E520" s="6" t="str">
        <f t="shared" si="15"/>
        <v/>
      </c>
    </row>
    <row r="521" spans="2:5" x14ac:dyDescent="0.25">
      <c r="B521" s="6" t="str">
        <f>IF(A521="","",'Cálculos y conversiones'!$B$14)</f>
        <v/>
      </c>
      <c r="C521" s="6" t="str">
        <f>IF(A521="","",'Cálculos y conversiones'!$B$11*Tabla!E520)</f>
        <v/>
      </c>
      <c r="D521" s="6" t="str">
        <f t="shared" si="14"/>
        <v/>
      </c>
      <c r="E521" s="6" t="str">
        <f t="shared" si="15"/>
        <v/>
      </c>
    </row>
    <row r="522" spans="2:5" x14ac:dyDescent="0.25">
      <c r="B522" s="6" t="str">
        <f>IF(A522="","",'Cálculos y conversiones'!$B$14)</f>
        <v/>
      </c>
      <c r="C522" s="6" t="str">
        <f>IF(A522="","",'Cálculos y conversiones'!$B$11*Tabla!E521)</f>
        <v/>
      </c>
      <c r="D522" s="6" t="str">
        <f t="shared" ref="D522:D585" si="16">IF(A522="","",B522-C522)</f>
        <v/>
      </c>
      <c r="E522" s="6" t="str">
        <f t="shared" ref="E522:E585" si="17">IF(A522="","",E521-D522)</f>
        <v/>
      </c>
    </row>
    <row r="523" spans="2:5" x14ac:dyDescent="0.25">
      <c r="B523" s="6" t="str">
        <f>IF(A523="","",'Cálculos y conversiones'!$B$14)</f>
        <v/>
      </c>
      <c r="C523" s="6" t="str">
        <f>IF(A523="","",'Cálculos y conversiones'!$B$11*Tabla!E522)</f>
        <v/>
      </c>
      <c r="D523" s="6" t="str">
        <f t="shared" si="16"/>
        <v/>
      </c>
      <c r="E523" s="6" t="str">
        <f t="shared" si="17"/>
        <v/>
      </c>
    </row>
    <row r="524" spans="2:5" x14ac:dyDescent="0.25">
      <c r="B524" s="6" t="str">
        <f>IF(A524="","",'Cálculos y conversiones'!$B$14)</f>
        <v/>
      </c>
      <c r="C524" s="6" t="str">
        <f>IF(A524="","",'Cálculos y conversiones'!$B$11*Tabla!E523)</f>
        <v/>
      </c>
      <c r="D524" s="6" t="str">
        <f t="shared" si="16"/>
        <v/>
      </c>
      <c r="E524" s="6" t="str">
        <f t="shared" si="17"/>
        <v/>
      </c>
    </row>
    <row r="525" spans="2:5" x14ac:dyDescent="0.25">
      <c r="B525" s="6" t="str">
        <f>IF(A525="","",'Cálculos y conversiones'!$B$14)</f>
        <v/>
      </c>
      <c r="C525" s="6" t="str">
        <f>IF(A525="","",'Cálculos y conversiones'!$B$11*Tabla!E524)</f>
        <v/>
      </c>
      <c r="D525" s="6" t="str">
        <f t="shared" si="16"/>
        <v/>
      </c>
      <c r="E525" s="6" t="str">
        <f t="shared" si="17"/>
        <v/>
      </c>
    </row>
    <row r="526" spans="2:5" x14ac:dyDescent="0.25">
      <c r="B526" s="6" t="str">
        <f>IF(A526="","",'Cálculos y conversiones'!$B$14)</f>
        <v/>
      </c>
      <c r="C526" s="6" t="str">
        <f>IF(A526="","",'Cálculos y conversiones'!$B$11*Tabla!E525)</f>
        <v/>
      </c>
      <c r="D526" s="6" t="str">
        <f t="shared" si="16"/>
        <v/>
      </c>
      <c r="E526" s="6" t="str">
        <f t="shared" si="17"/>
        <v/>
      </c>
    </row>
    <row r="527" spans="2:5" x14ac:dyDescent="0.25">
      <c r="B527" s="6" t="str">
        <f>IF(A527="","",'Cálculos y conversiones'!$B$14)</f>
        <v/>
      </c>
      <c r="C527" s="6" t="str">
        <f>IF(A527="","",'Cálculos y conversiones'!$B$11*Tabla!E526)</f>
        <v/>
      </c>
      <c r="D527" s="6" t="str">
        <f t="shared" si="16"/>
        <v/>
      </c>
      <c r="E527" s="6" t="str">
        <f t="shared" si="17"/>
        <v/>
      </c>
    </row>
    <row r="528" spans="2:5" x14ac:dyDescent="0.25">
      <c r="B528" s="6" t="str">
        <f>IF(A528="","",'Cálculos y conversiones'!$B$14)</f>
        <v/>
      </c>
      <c r="C528" s="6" t="str">
        <f>IF(A528="","",'Cálculos y conversiones'!$B$11*Tabla!E527)</f>
        <v/>
      </c>
      <c r="D528" s="6" t="str">
        <f t="shared" si="16"/>
        <v/>
      </c>
      <c r="E528" s="6" t="str">
        <f t="shared" si="17"/>
        <v/>
      </c>
    </row>
    <row r="529" spans="2:5" x14ac:dyDescent="0.25">
      <c r="B529" s="6" t="str">
        <f>IF(A529="","",'Cálculos y conversiones'!$B$14)</f>
        <v/>
      </c>
      <c r="C529" s="6" t="str">
        <f>IF(A529="","",'Cálculos y conversiones'!$B$11*Tabla!E528)</f>
        <v/>
      </c>
      <c r="D529" s="6" t="str">
        <f t="shared" si="16"/>
        <v/>
      </c>
      <c r="E529" s="6" t="str">
        <f t="shared" si="17"/>
        <v/>
      </c>
    </row>
    <row r="530" spans="2:5" x14ac:dyDescent="0.25">
      <c r="B530" s="6" t="str">
        <f>IF(A530="","",'Cálculos y conversiones'!$B$14)</f>
        <v/>
      </c>
      <c r="C530" s="6" t="str">
        <f>IF(A530="","",'Cálculos y conversiones'!$B$11*Tabla!E529)</f>
        <v/>
      </c>
      <c r="D530" s="6" t="str">
        <f t="shared" si="16"/>
        <v/>
      </c>
      <c r="E530" s="6" t="str">
        <f t="shared" si="17"/>
        <v/>
      </c>
    </row>
    <row r="531" spans="2:5" x14ac:dyDescent="0.25">
      <c r="B531" s="6" t="str">
        <f>IF(A531="","",'Cálculos y conversiones'!$B$14)</f>
        <v/>
      </c>
      <c r="C531" s="6" t="str">
        <f>IF(A531="","",'Cálculos y conversiones'!$B$11*Tabla!E530)</f>
        <v/>
      </c>
      <c r="D531" s="6" t="str">
        <f t="shared" si="16"/>
        <v/>
      </c>
      <c r="E531" s="6" t="str">
        <f t="shared" si="17"/>
        <v/>
      </c>
    </row>
    <row r="532" spans="2:5" x14ac:dyDescent="0.25">
      <c r="B532" s="11" t="str">
        <f>IF(A532="","",'Cálculos y conversiones'!$B$14)</f>
        <v/>
      </c>
      <c r="C532" s="11" t="str">
        <f>IF(A532="","",'Cálculos y conversiones'!$B$11*Tabla!E531)</f>
        <v/>
      </c>
      <c r="D532" s="11" t="str">
        <f t="shared" si="16"/>
        <v/>
      </c>
      <c r="E532" s="11" t="str">
        <f t="shared" si="17"/>
        <v/>
      </c>
    </row>
    <row r="533" spans="2:5" x14ac:dyDescent="0.25">
      <c r="B533" s="11" t="str">
        <f>IF(A533="","",'Cálculos y conversiones'!$B$14)</f>
        <v/>
      </c>
      <c r="C533" s="11" t="str">
        <f>IF(A533="","",'Cálculos y conversiones'!$B$11*Tabla!E532)</f>
        <v/>
      </c>
      <c r="D533" s="11" t="str">
        <f t="shared" si="16"/>
        <v/>
      </c>
      <c r="E533" s="11" t="str">
        <f t="shared" si="17"/>
        <v/>
      </c>
    </row>
    <row r="534" spans="2:5" x14ac:dyDescent="0.25">
      <c r="B534" s="11" t="str">
        <f>IF(A534="","",'Cálculos y conversiones'!$B$14)</f>
        <v/>
      </c>
      <c r="C534" s="11" t="str">
        <f>IF(A534="","",'Cálculos y conversiones'!$B$11*Tabla!E533)</f>
        <v/>
      </c>
      <c r="D534" s="11" t="str">
        <f t="shared" si="16"/>
        <v/>
      </c>
      <c r="E534" s="11" t="str">
        <f t="shared" si="17"/>
        <v/>
      </c>
    </row>
    <row r="535" spans="2:5" x14ac:dyDescent="0.25">
      <c r="B535" s="11" t="str">
        <f>IF(A535="","",'Cálculos y conversiones'!$B$14)</f>
        <v/>
      </c>
      <c r="C535" s="11" t="str">
        <f>IF(A535="","",'Cálculos y conversiones'!$B$11*Tabla!E534)</f>
        <v/>
      </c>
      <c r="D535" s="11" t="str">
        <f t="shared" si="16"/>
        <v/>
      </c>
      <c r="E535" s="11" t="str">
        <f t="shared" si="17"/>
        <v/>
      </c>
    </row>
    <row r="536" spans="2:5" x14ac:dyDescent="0.25">
      <c r="B536" s="11" t="str">
        <f>IF(A536="","",'Cálculos y conversiones'!$B$14)</f>
        <v/>
      </c>
      <c r="C536" s="11" t="str">
        <f>IF(A536="","",'Cálculos y conversiones'!$B$11*Tabla!E535)</f>
        <v/>
      </c>
      <c r="D536" s="11" t="str">
        <f t="shared" si="16"/>
        <v/>
      </c>
      <c r="E536" s="11" t="str">
        <f t="shared" si="17"/>
        <v/>
      </c>
    </row>
    <row r="537" spans="2:5" x14ac:dyDescent="0.25">
      <c r="B537" s="11" t="str">
        <f>IF(A537="","",'Cálculos y conversiones'!$B$14)</f>
        <v/>
      </c>
      <c r="C537" s="11" t="str">
        <f>IF(A537="","",'Cálculos y conversiones'!$B$11*Tabla!E536)</f>
        <v/>
      </c>
      <c r="D537" s="11" t="str">
        <f t="shared" si="16"/>
        <v/>
      </c>
      <c r="E537" s="11" t="str">
        <f t="shared" si="17"/>
        <v/>
      </c>
    </row>
    <row r="538" spans="2:5" x14ac:dyDescent="0.25">
      <c r="B538" s="11" t="str">
        <f>IF(A538="","",'Cálculos y conversiones'!$B$14)</f>
        <v/>
      </c>
      <c r="C538" s="11" t="str">
        <f>IF(A538="","",'Cálculos y conversiones'!$B$11*Tabla!E537)</f>
        <v/>
      </c>
      <c r="D538" s="11" t="str">
        <f t="shared" si="16"/>
        <v/>
      </c>
      <c r="E538" s="11" t="str">
        <f t="shared" si="17"/>
        <v/>
      </c>
    </row>
    <row r="539" spans="2:5" x14ac:dyDescent="0.25">
      <c r="B539" s="11" t="str">
        <f>IF(A539="","",'Cálculos y conversiones'!$B$14)</f>
        <v/>
      </c>
      <c r="C539" s="11" t="str">
        <f>IF(A539="","",'Cálculos y conversiones'!$B$11*Tabla!E538)</f>
        <v/>
      </c>
      <c r="D539" s="11" t="str">
        <f t="shared" si="16"/>
        <v/>
      </c>
      <c r="E539" s="11" t="str">
        <f t="shared" si="17"/>
        <v/>
      </c>
    </row>
    <row r="540" spans="2:5" x14ac:dyDescent="0.25">
      <c r="B540" s="11" t="str">
        <f>IF(A540="","",'Cálculos y conversiones'!$B$14)</f>
        <v/>
      </c>
      <c r="C540" s="11" t="str">
        <f>IF(A540="","",'Cálculos y conversiones'!$B$11*Tabla!E539)</f>
        <v/>
      </c>
      <c r="D540" s="11" t="str">
        <f t="shared" si="16"/>
        <v/>
      </c>
      <c r="E540" s="11" t="str">
        <f t="shared" si="17"/>
        <v/>
      </c>
    </row>
    <row r="541" spans="2:5" x14ac:dyDescent="0.25">
      <c r="B541" s="11" t="str">
        <f>IF(A541="","",'Cálculos y conversiones'!$B$14)</f>
        <v/>
      </c>
      <c r="C541" s="11" t="str">
        <f>IF(A541="","",'Cálculos y conversiones'!$B$11*Tabla!E540)</f>
        <v/>
      </c>
      <c r="D541" s="11" t="str">
        <f t="shared" si="16"/>
        <v/>
      </c>
      <c r="E541" s="11" t="str">
        <f t="shared" si="17"/>
        <v/>
      </c>
    </row>
    <row r="542" spans="2:5" x14ac:dyDescent="0.25">
      <c r="B542" s="11" t="str">
        <f>IF(A542="","",'Cálculos y conversiones'!$B$14)</f>
        <v/>
      </c>
      <c r="C542" s="11" t="str">
        <f>IF(A542="","",'Cálculos y conversiones'!$B$11*Tabla!E541)</f>
        <v/>
      </c>
      <c r="D542" s="11" t="str">
        <f t="shared" si="16"/>
        <v/>
      </c>
      <c r="E542" s="11" t="str">
        <f t="shared" si="17"/>
        <v/>
      </c>
    </row>
    <row r="543" spans="2:5" x14ac:dyDescent="0.25">
      <c r="B543" s="11" t="str">
        <f>IF(A543="","",'Cálculos y conversiones'!$B$14)</f>
        <v/>
      </c>
      <c r="C543" s="11" t="str">
        <f>IF(A543="","",'Cálculos y conversiones'!$B$11*Tabla!E542)</f>
        <v/>
      </c>
      <c r="D543" s="11" t="str">
        <f t="shared" si="16"/>
        <v/>
      </c>
      <c r="E543" s="11" t="str">
        <f t="shared" si="17"/>
        <v/>
      </c>
    </row>
    <row r="544" spans="2:5" x14ac:dyDescent="0.25">
      <c r="B544" s="11" t="str">
        <f>IF(A544="","",'Cálculos y conversiones'!$B$14)</f>
        <v/>
      </c>
      <c r="C544" s="11" t="str">
        <f>IF(A544="","",'Cálculos y conversiones'!$B$11*Tabla!E543)</f>
        <v/>
      </c>
      <c r="D544" s="11" t="str">
        <f t="shared" si="16"/>
        <v/>
      </c>
      <c r="E544" s="11" t="str">
        <f t="shared" si="17"/>
        <v/>
      </c>
    </row>
    <row r="545" spans="2:5" x14ac:dyDescent="0.25">
      <c r="B545" s="11" t="str">
        <f>IF(A545="","",'Cálculos y conversiones'!$B$14)</f>
        <v/>
      </c>
      <c r="C545" s="11" t="str">
        <f>IF(A545="","",'Cálculos y conversiones'!$B$11*Tabla!E544)</f>
        <v/>
      </c>
      <c r="D545" s="11" t="str">
        <f t="shared" si="16"/>
        <v/>
      </c>
      <c r="E545" s="11" t="str">
        <f t="shared" si="17"/>
        <v/>
      </c>
    </row>
    <row r="546" spans="2:5" x14ac:dyDescent="0.25">
      <c r="B546" s="11" t="str">
        <f>IF(A546="","",'Cálculos y conversiones'!$B$14)</f>
        <v/>
      </c>
      <c r="C546" s="11" t="str">
        <f>IF(A546="","",'Cálculos y conversiones'!$B$11*Tabla!E545)</f>
        <v/>
      </c>
      <c r="D546" s="11" t="str">
        <f t="shared" si="16"/>
        <v/>
      </c>
      <c r="E546" s="11" t="str">
        <f t="shared" si="17"/>
        <v/>
      </c>
    </row>
    <row r="547" spans="2:5" x14ac:dyDescent="0.25">
      <c r="B547" s="11" t="str">
        <f>IF(A547="","",'Cálculos y conversiones'!$B$14)</f>
        <v/>
      </c>
      <c r="C547" s="11" t="str">
        <f>IF(A547="","",'Cálculos y conversiones'!$B$11*Tabla!E546)</f>
        <v/>
      </c>
      <c r="D547" s="11" t="str">
        <f t="shared" si="16"/>
        <v/>
      </c>
      <c r="E547" s="11" t="str">
        <f t="shared" si="17"/>
        <v/>
      </c>
    </row>
    <row r="548" spans="2:5" x14ac:dyDescent="0.25">
      <c r="B548" s="11" t="str">
        <f>IF(A548="","",'Cálculos y conversiones'!$B$14)</f>
        <v/>
      </c>
      <c r="C548" s="11" t="str">
        <f>IF(A548="","",'Cálculos y conversiones'!$B$11*Tabla!E547)</f>
        <v/>
      </c>
      <c r="D548" s="11" t="str">
        <f t="shared" si="16"/>
        <v/>
      </c>
      <c r="E548" s="11" t="str">
        <f t="shared" si="17"/>
        <v/>
      </c>
    </row>
    <row r="549" spans="2:5" x14ac:dyDescent="0.25">
      <c r="B549" s="11" t="str">
        <f>IF(A549="","",'Cálculos y conversiones'!$B$14)</f>
        <v/>
      </c>
      <c r="C549" s="11" t="str">
        <f>IF(A549="","",'Cálculos y conversiones'!$B$11*Tabla!E548)</f>
        <v/>
      </c>
      <c r="D549" s="11" t="str">
        <f t="shared" si="16"/>
        <v/>
      </c>
      <c r="E549" s="11" t="str">
        <f t="shared" si="17"/>
        <v/>
      </c>
    </row>
    <row r="550" spans="2:5" x14ac:dyDescent="0.25">
      <c r="B550" s="11" t="str">
        <f>IF(A550="","",'Cálculos y conversiones'!$B$14)</f>
        <v/>
      </c>
      <c r="C550" s="11" t="str">
        <f>IF(A550="","",'Cálculos y conversiones'!$B$11*Tabla!E549)</f>
        <v/>
      </c>
      <c r="D550" s="11" t="str">
        <f t="shared" si="16"/>
        <v/>
      </c>
      <c r="E550" s="11" t="str">
        <f t="shared" si="17"/>
        <v/>
      </c>
    </row>
    <row r="551" spans="2:5" x14ac:dyDescent="0.25">
      <c r="B551" s="11" t="str">
        <f>IF(A551="","",'Cálculos y conversiones'!$B$14)</f>
        <v/>
      </c>
      <c r="C551" s="11" t="str">
        <f>IF(A551="","",'Cálculos y conversiones'!$B$11*Tabla!E550)</f>
        <v/>
      </c>
      <c r="D551" s="11" t="str">
        <f t="shared" si="16"/>
        <v/>
      </c>
      <c r="E551" s="11" t="str">
        <f t="shared" si="17"/>
        <v/>
      </c>
    </row>
    <row r="552" spans="2:5" x14ac:dyDescent="0.25">
      <c r="B552" s="11" t="str">
        <f>IF(A552="","",'Cálculos y conversiones'!$B$14)</f>
        <v/>
      </c>
      <c r="C552" s="11" t="str">
        <f>IF(A552="","",'Cálculos y conversiones'!$B$11*Tabla!E551)</f>
        <v/>
      </c>
      <c r="D552" s="11" t="str">
        <f t="shared" si="16"/>
        <v/>
      </c>
      <c r="E552" s="11" t="str">
        <f t="shared" si="17"/>
        <v/>
      </c>
    </row>
    <row r="553" spans="2:5" x14ac:dyDescent="0.25">
      <c r="B553" s="11" t="str">
        <f>IF(A553="","",'Cálculos y conversiones'!$B$14)</f>
        <v/>
      </c>
      <c r="C553" s="11" t="str">
        <f>IF(A553="","",'Cálculos y conversiones'!$B$11*Tabla!E552)</f>
        <v/>
      </c>
      <c r="D553" s="11" t="str">
        <f t="shared" si="16"/>
        <v/>
      </c>
      <c r="E553" s="11" t="str">
        <f t="shared" si="17"/>
        <v/>
      </c>
    </row>
    <row r="554" spans="2:5" x14ac:dyDescent="0.25">
      <c r="B554" s="11" t="str">
        <f>IF(A554="","",'Cálculos y conversiones'!$B$14)</f>
        <v/>
      </c>
      <c r="C554" s="11" t="str">
        <f>IF(A554="","",'Cálculos y conversiones'!$B$11*Tabla!E553)</f>
        <v/>
      </c>
      <c r="D554" s="11" t="str">
        <f t="shared" si="16"/>
        <v/>
      </c>
      <c r="E554" s="11" t="str">
        <f t="shared" si="17"/>
        <v/>
      </c>
    </row>
    <row r="555" spans="2:5" x14ac:dyDescent="0.25">
      <c r="B555" s="11" t="str">
        <f>IF(A555="","",'Cálculos y conversiones'!$B$14)</f>
        <v/>
      </c>
      <c r="C555" s="11" t="str">
        <f>IF(A555="","",'Cálculos y conversiones'!$B$11*Tabla!E554)</f>
        <v/>
      </c>
      <c r="D555" s="11" t="str">
        <f t="shared" si="16"/>
        <v/>
      </c>
      <c r="E555" s="11" t="str">
        <f t="shared" si="17"/>
        <v/>
      </c>
    </row>
    <row r="556" spans="2:5" x14ac:dyDescent="0.25">
      <c r="B556" s="11" t="str">
        <f>IF(A556="","",'Cálculos y conversiones'!$B$14)</f>
        <v/>
      </c>
      <c r="C556" s="11" t="str">
        <f>IF(A556="","",'Cálculos y conversiones'!$B$11*Tabla!E555)</f>
        <v/>
      </c>
      <c r="D556" s="11" t="str">
        <f t="shared" si="16"/>
        <v/>
      </c>
      <c r="E556" s="11" t="str">
        <f t="shared" si="17"/>
        <v/>
      </c>
    </row>
    <row r="557" spans="2:5" x14ac:dyDescent="0.25">
      <c r="B557" s="11" t="str">
        <f>IF(A557="","",'Cálculos y conversiones'!$B$14)</f>
        <v/>
      </c>
      <c r="C557" s="11" t="str">
        <f>IF(A557="","",'Cálculos y conversiones'!$B$11*Tabla!E556)</f>
        <v/>
      </c>
      <c r="D557" s="11" t="str">
        <f t="shared" si="16"/>
        <v/>
      </c>
      <c r="E557" s="11" t="str">
        <f t="shared" si="17"/>
        <v/>
      </c>
    </row>
    <row r="558" spans="2:5" x14ac:dyDescent="0.25">
      <c r="B558" s="11" t="str">
        <f>IF(A558="","",'Cálculos y conversiones'!$B$14)</f>
        <v/>
      </c>
      <c r="C558" s="11" t="str">
        <f>IF(A558="","",'Cálculos y conversiones'!$B$11*Tabla!E557)</f>
        <v/>
      </c>
      <c r="D558" s="11" t="str">
        <f t="shared" si="16"/>
        <v/>
      </c>
      <c r="E558" s="11" t="str">
        <f t="shared" si="17"/>
        <v/>
      </c>
    </row>
    <row r="559" spans="2:5" x14ac:dyDescent="0.25">
      <c r="B559" s="11" t="str">
        <f>IF(A559="","",'Cálculos y conversiones'!$B$14)</f>
        <v/>
      </c>
      <c r="C559" s="11" t="str">
        <f>IF(A559="","",'Cálculos y conversiones'!$B$11*Tabla!E558)</f>
        <v/>
      </c>
      <c r="D559" s="11" t="str">
        <f t="shared" si="16"/>
        <v/>
      </c>
      <c r="E559" s="11" t="str">
        <f t="shared" si="17"/>
        <v/>
      </c>
    </row>
    <row r="560" spans="2:5" x14ac:dyDescent="0.25">
      <c r="B560" s="11" t="str">
        <f>IF(A560="","",'Cálculos y conversiones'!$B$14)</f>
        <v/>
      </c>
      <c r="C560" s="11" t="str">
        <f>IF(A560="","",'Cálculos y conversiones'!$B$11*Tabla!E559)</f>
        <v/>
      </c>
      <c r="D560" s="11" t="str">
        <f t="shared" si="16"/>
        <v/>
      </c>
      <c r="E560" s="11" t="str">
        <f t="shared" si="17"/>
        <v/>
      </c>
    </row>
    <row r="561" spans="2:5" x14ac:dyDescent="0.25">
      <c r="B561" s="11" t="str">
        <f>IF(A561="","",'Cálculos y conversiones'!$B$14)</f>
        <v/>
      </c>
      <c r="C561" s="11" t="str">
        <f>IF(A561="","",'Cálculos y conversiones'!$B$11*Tabla!E560)</f>
        <v/>
      </c>
      <c r="D561" s="11" t="str">
        <f t="shared" si="16"/>
        <v/>
      </c>
      <c r="E561" s="11" t="str">
        <f t="shared" si="17"/>
        <v/>
      </c>
    </row>
    <row r="562" spans="2:5" x14ac:dyDescent="0.25">
      <c r="B562" s="11" t="str">
        <f>IF(A562="","",'Cálculos y conversiones'!$B$14)</f>
        <v/>
      </c>
      <c r="C562" s="11" t="str">
        <f>IF(A562="","",'Cálculos y conversiones'!$B$11*Tabla!E561)</f>
        <v/>
      </c>
      <c r="D562" s="11" t="str">
        <f t="shared" si="16"/>
        <v/>
      </c>
      <c r="E562" s="11" t="str">
        <f t="shared" si="17"/>
        <v/>
      </c>
    </row>
    <row r="563" spans="2:5" x14ac:dyDescent="0.25">
      <c r="B563" s="11" t="str">
        <f>IF(A563="","",'Cálculos y conversiones'!$B$14)</f>
        <v/>
      </c>
      <c r="C563" s="11" t="str">
        <f>IF(A563="","",'Cálculos y conversiones'!$B$11*Tabla!E562)</f>
        <v/>
      </c>
      <c r="D563" s="11" t="str">
        <f t="shared" si="16"/>
        <v/>
      </c>
      <c r="E563" s="11" t="str">
        <f t="shared" si="17"/>
        <v/>
      </c>
    </row>
    <row r="564" spans="2:5" x14ac:dyDescent="0.25">
      <c r="B564" s="11" t="str">
        <f>IF(A564="","",'Cálculos y conversiones'!$B$14)</f>
        <v/>
      </c>
      <c r="C564" s="11" t="str">
        <f>IF(A564="","",'Cálculos y conversiones'!$B$11*Tabla!E563)</f>
        <v/>
      </c>
      <c r="D564" s="11" t="str">
        <f t="shared" si="16"/>
        <v/>
      </c>
      <c r="E564" s="11" t="str">
        <f t="shared" si="17"/>
        <v/>
      </c>
    </row>
    <row r="565" spans="2:5" x14ac:dyDescent="0.25">
      <c r="B565" s="11" t="str">
        <f>IF(A565="","",'Cálculos y conversiones'!$B$14)</f>
        <v/>
      </c>
      <c r="C565" s="11" t="str">
        <f>IF(A565="","",'Cálculos y conversiones'!$B$11*Tabla!E564)</f>
        <v/>
      </c>
      <c r="D565" s="11" t="str">
        <f t="shared" si="16"/>
        <v/>
      </c>
      <c r="E565" s="11" t="str">
        <f t="shared" si="17"/>
        <v/>
      </c>
    </row>
    <row r="566" spans="2:5" x14ac:dyDescent="0.25">
      <c r="B566" s="11" t="str">
        <f>IF(A566="","",'Cálculos y conversiones'!$B$14)</f>
        <v/>
      </c>
      <c r="C566" s="11" t="str">
        <f>IF(A566="","",'Cálculos y conversiones'!$B$11*Tabla!E565)</f>
        <v/>
      </c>
      <c r="D566" s="11" t="str">
        <f t="shared" si="16"/>
        <v/>
      </c>
      <c r="E566" s="11" t="str">
        <f t="shared" si="17"/>
        <v/>
      </c>
    </row>
    <row r="567" spans="2:5" x14ac:dyDescent="0.25">
      <c r="B567" s="11" t="str">
        <f>IF(A567="","",'Cálculos y conversiones'!$B$14)</f>
        <v/>
      </c>
      <c r="C567" s="11" t="str">
        <f>IF(A567="","",'Cálculos y conversiones'!$B$11*Tabla!E566)</f>
        <v/>
      </c>
      <c r="D567" s="11" t="str">
        <f t="shared" si="16"/>
        <v/>
      </c>
      <c r="E567" s="11" t="str">
        <f t="shared" si="17"/>
        <v/>
      </c>
    </row>
    <row r="568" spans="2:5" x14ac:dyDescent="0.25">
      <c r="B568" s="11" t="str">
        <f>IF(A568="","",'Cálculos y conversiones'!$B$14)</f>
        <v/>
      </c>
      <c r="C568" s="11" t="str">
        <f>IF(A568="","",'Cálculos y conversiones'!$B$11*Tabla!E567)</f>
        <v/>
      </c>
      <c r="D568" s="11" t="str">
        <f t="shared" si="16"/>
        <v/>
      </c>
      <c r="E568" s="11" t="str">
        <f t="shared" si="17"/>
        <v/>
      </c>
    </row>
    <row r="569" spans="2:5" x14ac:dyDescent="0.25">
      <c r="B569" s="11" t="str">
        <f>IF(A569="","",'Cálculos y conversiones'!$B$14)</f>
        <v/>
      </c>
      <c r="C569" s="11" t="str">
        <f>IF(A569="","",'Cálculos y conversiones'!$B$11*Tabla!E568)</f>
        <v/>
      </c>
      <c r="D569" s="11" t="str">
        <f t="shared" si="16"/>
        <v/>
      </c>
      <c r="E569" s="11" t="str">
        <f t="shared" si="17"/>
        <v/>
      </c>
    </row>
    <row r="570" spans="2:5" x14ac:dyDescent="0.25">
      <c r="B570" s="11" t="str">
        <f>IF(A570="","",'Cálculos y conversiones'!$B$14)</f>
        <v/>
      </c>
      <c r="C570" s="11" t="str">
        <f>IF(A570="","",'Cálculos y conversiones'!$B$11*Tabla!E569)</f>
        <v/>
      </c>
      <c r="D570" s="11" t="str">
        <f t="shared" si="16"/>
        <v/>
      </c>
      <c r="E570" s="11" t="str">
        <f t="shared" si="17"/>
        <v/>
      </c>
    </row>
    <row r="571" spans="2:5" x14ac:dyDescent="0.25">
      <c r="B571" s="11" t="str">
        <f>IF(A571="","",'Cálculos y conversiones'!$B$14)</f>
        <v/>
      </c>
      <c r="C571" s="11" t="str">
        <f>IF(A571="","",'Cálculos y conversiones'!$B$11*Tabla!E570)</f>
        <v/>
      </c>
      <c r="D571" s="11" t="str">
        <f t="shared" si="16"/>
        <v/>
      </c>
      <c r="E571" s="11" t="str">
        <f t="shared" si="17"/>
        <v/>
      </c>
    </row>
    <row r="572" spans="2:5" x14ac:dyDescent="0.25">
      <c r="B572" s="11" t="str">
        <f>IF(A572="","",'Cálculos y conversiones'!$B$14)</f>
        <v/>
      </c>
      <c r="C572" s="11" t="str">
        <f>IF(A572="","",'Cálculos y conversiones'!$B$11*Tabla!E571)</f>
        <v/>
      </c>
      <c r="D572" s="11" t="str">
        <f t="shared" si="16"/>
        <v/>
      </c>
      <c r="E572" s="11" t="str">
        <f t="shared" si="17"/>
        <v/>
      </c>
    </row>
    <row r="573" spans="2:5" x14ac:dyDescent="0.25">
      <c r="B573" s="11" t="str">
        <f>IF(A573="","",'Cálculos y conversiones'!$B$14)</f>
        <v/>
      </c>
      <c r="C573" s="11" t="str">
        <f>IF(A573="","",'Cálculos y conversiones'!$B$11*Tabla!E572)</f>
        <v/>
      </c>
      <c r="D573" s="11" t="str">
        <f t="shared" si="16"/>
        <v/>
      </c>
      <c r="E573" s="11" t="str">
        <f t="shared" si="17"/>
        <v/>
      </c>
    </row>
    <row r="574" spans="2:5" x14ac:dyDescent="0.25">
      <c r="B574" s="11" t="str">
        <f>IF(A574="","",'Cálculos y conversiones'!$B$14)</f>
        <v/>
      </c>
      <c r="C574" s="11" t="str">
        <f>IF(A574="","",'Cálculos y conversiones'!$B$11*Tabla!E573)</f>
        <v/>
      </c>
      <c r="D574" s="11" t="str">
        <f t="shared" si="16"/>
        <v/>
      </c>
      <c r="E574" s="11" t="str">
        <f t="shared" si="17"/>
        <v/>
      </c>
    </row>
    <row r="575" spans="2:5" x14ac:dyDescent="0.25">
      <c r="B575" s="11" t="str">
        <f>IF(A575="","",'Cálculos y conversiones'!$B$14)</f>
        <v/>
      </c>
      <c r="C575" s="11" t="str">
        <f>IF(A575="","",'Cálculos y conversiones'!$B$11*Tabla!E574)</f>
        <v/>
      </c>
      <c r="D575" s="11" t="str">
        <f t="shared" si="16"/>
        <v/>
      </c>
      <c r="E575" s="11" t="str">
        <f t="shared" si="17"/>
        <v/>
      </c>
    </row>
    <row r="576" spans="2:5" x14ac:dyDescent="0.25">
      <c r="B576" s="11" t="str">
        <f>IF(A576="","",'Cálculos y conversiones'!$B$14)</f>
        <v/>
      </c>
      <c r="C576" s="11" t="str">
        <f>IF(A576="","",'Cálculos y conversiones'!$B$11*Tabla!E575)</f>
        <v/>
      </c>
      <c r="D576" s="11" t="str">
        <f t="shared" si="16"/>
        <v/>
      </c>
      <c r="E576" s="11" t="str">
        <f t="shared" si="17"/>
        <v/>
      </c>
    </row>
    <row r="577" spans="2:5" x14ac:dyDescent="0.25">
      <c r="B577" s="11" t="str">
        <f>IF(A577="","",'Cálculos y conversiones'!$B$14)</f>
        <v/>
      </c>
      <c r="C577" s="11" t="str">
        <f>IF(A577="","",'Cálculos y conversiones'!$B$11*Tabla!E576)</f>
        <v/>
      </c>
      <c r="D577" s="11" t="str">
        <f t="shared" si="16"/>
        <v/>
      </c>
      <c r="E577" s="11" t="str">
        <f t="shared" si="17"/>
        <v/>
      </c>
    </row>
    <row r="578" spans="2:5" x14ac:dyDescent="0.25">
      <c r="B578" s="11" t="str">
        <f>IF(A578="","",'Cálculos y conversiones'!$B$14)</f>
        <v/>
      </c>
      <c r="C578" s="11" t="str">
        <f>IF(A578="","",'Cálculos y conversiones'!$B$11*Tabla!E577)</f>
        <v/>
      </c>
      <c r="D578" s="11" t="str">
        <f t="shared" si="16"/>
        <v/>
      </c>
      <c r="E578" s="11" t="str">
        <f t="shared" si="17"/>
        <v/>
      </c>
    </row>
    <row r="579" spans="2:5" x14ac:dyDescent="0.25">
      <c r="B579" s="11" t="str">
        <f>IF(A579="","",'Cálculos y conversiones'!$B$14)</f>
        <v/>
      </c>
      <c r="C579" s="11" t="str">
        <f>IF(A579="","",'Cálculos y conversiones'!$B$11*Tabla!E578)</f>
        <v/>
      </c>
      <c r="D579" s="11" t="str">
        <f t="shared" si="16"/>
        <v/>
      </c>
      <c r="E579" s="11" t="str">
        <f t="shared" si="17"/>
        <v/>
      </c>
    </row>
    <row r="580" spans="2:5" x14ac:dyDescent="0.25">
      <c r="B580" s="11" t="str">
        <f>IF(A580="","",'Cálculos y conversiones'!$B$14)</f>
        <v/>
      </c>
      <c r="C580" s="11" t="str">
        <f>IF(A580="","",'Cálculos y conversiones'!$B$11*Tabla!E579)</f>
        <v/>
      </c>
      <c r="D580" s="11" t="str">
        <f t="shared" si="16"/>
        <v/>
      </c>
      <c r="E580" s="11" t="str">
        <f t="shared" si="17"/>
        <v/>
      </c>
    </row>
    <row r="581" spans="2:5" x14ac:dyDescent="0.25">
      <c r="B581" s="11" t="str">
        <f>IF(A581="","",'Cálculos y conversiones'!$B$14)</f>
        <v/>
      </c>
      <c r="C581" s="11" t="str">
        <f>IF(A581="","",'Cálculos y conversiones'!$B$11*Tabla!E580)</f>
        <v/>
      </c>
      <c r="D581" s="11" t="str">
        <f t="shared" si="16"/>
        <v/>
      </c>
      <c r="E581" s="11" t="str">
        <f t="shared" si="17"/>
        <v/>
      </c>
    </row>
    <row r="582" spans="2:5" x14ac:dyDescent="0.25">
      <c r="B582" s="11" t="str">
        <f>IF(A582="","",'Cálculos y conversiones'!$B$14)</f>
        <v/>
      </c>
      <c r="C582" s="11" t="str">
        <f>IF(A582="","",'Cálculos y conversiones'!$B$11*Tabla!E581)</f>
        <v/>
      </c>
      <c r="D582" s="11" t="str">
        <f t="shared" si="16"/>
        <v/>
      </c>
      <c r="E582" s="11" t="str">
        <f t="shared" si="17"/>
        <v/>
      </c>
    </row>
    <row r="583" spans="2:5" x14ac:dyDescent="0.25">
      <c r="B583" s="11" t="str">
        <f>IF(A583="","",'Cálculos y conversiones'!$B$14)</f>
        <v/>
      </c>
      <c r="C583" s="11" t="str">
        <f>IF(A583="","",'Cálculos y conversiones'!$B$11*Tabla!E582)</f>
        <v/>
      </c>
      <c r="D583" s="11" t="str">
        <f t="shared" si="16"/>
        <v/>
      </c>
      <c r="E583" s="11" t="str">
        <f t="shared" si="17"/>
        <v/>
      </c>
    </row>
    <row r="584" spans="2:5" x14ac:dyDescent="0.25">
      <c r="B584" s="11" t="str">
        <f>IF(A584="","",'Cálculos y conversiones'!$B$14)</f>
        <v/>
      </c>
      <c r="C584" s="11" t="str">
        <f>IF(A584="","",'Cálculos y conversiones'!$B$11*Tabla!E583)</f>
        <v/>
      </c>
      <c r="D584" s="11" t="str">
        <f t="shared" si="16"/>
        <v/>
      </c>
      <c r="E584" s="11" t="str">
        <f t="shared" si="17"/>
        <v/>
      </c>
    </row>
    <row r="585" spans="2:5" x14ac:dyDescent="0.25">
      <c r="B585" s="11" t="str">
        <f>IF(A585="","",'Cálculos y conversiones'!$B$14)</f>
        <v/>
      </c>
      <c r="C585" s="11" t="str">
        <f>IF(A585="","",'Cálculos y conversiones'!$B$11*Tabla!E584)</f>
        <v/>
      </c>
      <c r="D585" s="11" t="str">
        <f t="shared" si="16"/>
        <v/>
      </c>
      <c r="E585" s="11" t="str">
        <f t="shared" si="17"/>
        <v/>
      </c>
    </row>
    <row r="586" spans="2:5" x14ac:dyDescent="0.25">
      <c r="B586" s="11" t="str">
        <f>IF(A586="","",'Cálculos y conversiones'!$B$14)</f>
        <v/>
      </c>
      <c r="C586" s="11" t="str">
        <f>IF(A586="","",'Cálculos y conversiones'!$B$11*Tabla!E585)</f>
        <v/>
      </c>
      <c r="D586" s="11" t="str">
        <f t="shared" ref="D586:D649" si="18">IF(A586="","",B586-C586)</f>
        <v/>
      </c>
      <c r="E586" s="11" t="str">
        <f t="shared" ref="E586:E649" si="19">IF(A586="","",E585-D586)</f>
        <v/>
      </c>
    </row>
    <row r="587" spans="2:5" x14ac:dyDescent="0.25">
      <c r="B587" s="11" t="str">
        <f>IF(A587="","",'Cálculos y conversiones'!$B$14)</f>
        <v/>
      </c>
      <c r="C587" s="11" t="str">
        <f>IF(A587="","",'Cálculos y conversiones'!$B$11*Tabla!E586)</f>
        <v/>
      </c>
      <c r="D587" s="11" t="str">
        <f t="shared" si="18"/>
        <v/>
      </c>
      <c r="E587" s="11" t="str">
        <f t="shared" si="19"/>
        <v/>
      </c>
    </row>
    <row r="588" spans="2:5" x14ac:dyDescent="0.25">
      <c r="B588" s="11" t="str">
        <f>IF(A588="","",'Cálculos y conversiones'!$B$14)</f>
        <v/>
      </c>
      <c r="C588" s="11" t="str">
        <f>IF(A588="","",'Cálculos y conversiones'!$B$11*Tabla!E587)</f>
        <v/>
      </c>
      <c r="D588" s="11" t="str">
        <f t="shared" si="18"/>
        <v/>
      </c>
      <c r="E588" s="11" t="str">
        <f t="shared" si="19"/>
        <v/>
      </c>
    </row>
    <row r="589" spans="2:5" x14ac:dyDescent="0.25">
      <c r="B589" s="11" t="str">
        <f>IF(A589="","",'Cálculos y conversiones'!$B$14)</f>
        <v/>
      </c>
      <c r="C589" s="11" t="str">
        <f>IF(A589="","",'Cálculos y conversiones'!$B$11*Tabla!E588)</f>
        <v/>
      </c>
      <c r="D589" s="11" t="str">
        <f t="shared" si="18"/>
        <v/>
      </c>
      <c r="E589" s="11" t="str">
        <f t="shared" si="19"/>
        <v/>
      </c>
    </row>
    <row r="590" spans="2:5" x14ac:dyDescent="0.25">
      <c r="B590" s="11" t="str">
        <f>IF(A590="","",'Cálculos y conversiones'!$B$14)</f>
        <v/>
      </c>
      <c r="C590" s="11" t="str">
        <f>IF(A590="","",'Cálculos y conversiones'!$B$11*Tabla!E589)</f>
        <v/>
      </c>
      <c r="D590" s="11" t="str">
        <f t="shared" si="18"/>
        <v/>
      </c>
      <c r="E590" s="11" t="str">
        <f t="shared" si="19"/>
        <v/>
      </c>
    </row>
    <row r="591" spans="2:5" x14ac:dyDescent="0.25">
      <c r="B591" s="11" t="str">
        <f>IF(A591="","",'Cálculos y conversiones'!$B$14)</f>
        <v/>
      </c>
      <c r="C591" s="11" t="str">
        <f>IF(A591="","",'Cálculos y conversiones'!$B$11*Tabla!E590)</f>
        <v/>
      </c>
      <c r="D591" s="11" t="str">
        <f t="shared" si="18"/>
        <v/>
      </c>
      <c r="E591" s="11" t="str">
        <f t="shared" si="19"/>
        <v/>
      </c>
    </row>
    <row r="592" spans="2:5" x14ac:dyDescent="0.25">
      <c r="B592" s="11" t="str">
        <f>IF(A592="","",'Cálculos y conversiones'!$B$14)</f>
        <v/>
      </c>
      <c r="C592" s="11" t="str">
        <f>IF(A592="","",'Cálculos y conversiones'!$B$11*Tabla!E591)</f>
        <v/>
      </c>
      <c r="D592" s="11" t="str">
        <f t="shared" si="18"/>
        <v/>
      </c>
      <c r="E592" s="11" t="str">
        <f t="shared" si="19"/>
        <v/>
      </c>
    </row>
    <row r="593" spans="2:5" x14ac:dyDescent="0.25">
      <c r="B593" s="11" t="str">
        <f>IF(A593="","",'Cálculos y conversiones'!$B$14)</f>
        <v/>
      </c>
      <c r="C593" s="11" t="str">
        <f>IF(A593="","",'Cálculos y conversiones'!$B$11*Tabla!E592)</f>
        <v/>
      </c>
      <c r="D593" s="11" t="str">
        <f t="shared" si="18"/>
        <v/>
      </c>
      <c r="E593" s="11" t="str">
        <f t="shared" si="19"/>
        <v/>
      </c>
    </row>
    <row r="594" spans="2:5" x14ac:dyDescent="0.25">
      <c r="B594" s="11" t="str">
        <f>IF(A594="","",'Cálculos y conversiones'!$B$14)</f>
        <v/>
      </c>
      <c r="C594" s="11" t="str">
        <f>IF(A594="","",'Cálculos y conversiones'!$B$11*Tabla!E593)</f>
        <v/>
      </c>
      <c r="D594" s="11" t="str">
        <f t="shared" si="18"/>
        <v/>
      </c>
      <c r="E594" s="11" t="str">
        <f t="shared" si="19"/>
        <v/>
      </c>
    </row>
    <row r="595" spans="2:5" x14ac:dyDescent="0.25">
      <c r="B595" s="11" t="str">
        <f>IF(A595="","",'Cálculos y conversiones'!$B$14)</f>
        <v/>
      </c>
      <c r="C595" s="11" t="str">
        <f>IF(A595="","",'Cálculos y conversiones'!$B$11*Tabla!E594)</f>
        <v/>
      </c>
      <c r="D595" s="11" t="str">
        <f t="shared" si="18"/>
        <v/>
      </c>
      <c r="E595" s="11" t="str">
        <f t="shared" si="19"/>
        <v/>
      </c>
    </row>
    <row r="596" spans="2:5" x14ac:dyDescent="0.25">
      <c r="B596" s="11" t="str">
        <f>IF(A596="","",'Cálculos y conversiones'!$B$14)</f>
        <v/>
      </c>
      <c r="C596" s="11" t="str">
        <f>IF(A596="","",'Cálculos y conversiones'!$B$11*Tabla!E595)</f>
        <v/>
      </c>
      <c r="D596" s="11" t="str">
        <f t="shared" si="18"/>
        <v/>
      </c>
      <c r="E596" s="11" t="str">
        <f t="shared" si="19"/>
        <v/>
      </c>
    </row>
    <row r="597" spans="2:5" x14ac:dyDescent="0.25">
      <c r="B597" s="11" t="str">
        <f>IF(A597="","",'Cálculos y conversiones'!$B$14)</f>
        <v/>
      </c>
      <c r="C597" s="11" t="str">
        <f>IF(A597="","",'Cálculos y conversiones'!$B$11*Tabla!E596)</f>
        <v/>
      </c>
      <c r="D597" s="11" t="str">
        <f t="shared" si="18"/>
        <v/>
      </c>
      <c r="E597" s="11" t="str">
        <f t="shared" si="19"/>
        <v/>
      </c>
    </row>
    <row r="598" spans="2:5" x14ac:dyDescent="0.25">
      <c r="B598" s="11" t="str">
        <f>IF(A598="","",'Cálculos y conversiones'!$B$14)</f>
        <v/>
      </c>
      <c r="C598" s="11" t="str">
        <f>IF(A598="","",'Cálculos y conversiones'!$B$11*Tabla!E597)</f>
        <v/>
      </c>
      <c r="D598" s="11" t="str">
        <f t="shared" si="18"/>
        <v/>
      </c>
      <c r="E598" s="11" t="str">
        <f t="shared" si="19"/>
        <v/>
      </c>
    </row>
    <row r="599" spans="2:5" x14ac:dyDescent="0.25">
      <c r="B599" s="11" t="str">
        <f>IF(A599="","",'Cálculos y conversiones'!$B$14)</f>
        <v/>
      </c>
      <c r="C599" s="11" t="str">
        <f>IF(A599="","",'Cálculos y conversiones'!$B$11*Tabla!E598)</f>
        <v/>
      </c>
      <c r="D599" s="11" t="str">
        <f t="shared" si="18"/>
        <v/>
      </c>
      <c r="E599" s="11" t="str">
        <f t="shared" si="19"/>
        <v/>
      </c>
    </row>
    <row r="600" spans="2:5" x14ac:dyDescent="0.25">
      <c r="B600" s="11" t="str">
        <f>IF(A600="","",'Cálculos y conversiones'!$B$14)</f>
        <v/>
      </c>
      <c r="C600" s="11" t="str">
        <f>IF(A600="","",'Cálculos y conversiones'!$B$11*Tabla!E599)</f>
        <v/>
      </c>
      <c r="D600" s="11" t="str">
        <f t="shared" si="18"/>
        <v/>
      </c>
      <c r="E600" s="11" t="str">
        <f t="shared" si="19"/>
        <v/>
      </c>
    </row>
    <row r="601" spans="2:5" x14ac:dyDescent="0.25">
      <c r="B601" s="11" t="str">
        <f>IF(A601="","",'Cálculos y conversiones'!$B$14)</f>
        <v/>
      </c>
      <c r="C601" s="11" t="str">
        <f>IF(A601="","",'Cálculos y conversiones'!$B$11*Tabla!E600)</f>
        <v/>
      </c>
      <c r="D601" s="11" t="str">
        <f t="shared" si="18"/>
        <v/>
      </c>
      <c r="E601" s="11" t="str">
        <f t="shared" si="19"/>
        <v/>
      </c>
    </row>
    <row r="602" spans="2:5" x14ac:dyDescent="0.25">
      <c r="B602" s="11" t="str">
        <f>IF(A602="","",'Cálculos y conversiones'!$B$14)</f>
        <v/>
      </c>
      <c r="C602" s="11" t="str">
        <f>IF(A602="","",'Cálculos y conversiones'!$B$11*Tabla!E601)</f>
        <v/>
      </c>
      <c r="D602" s="11" t="str">
        <f t="shared" si="18"/>
        <v/>
      </c>
      <c r="E602" s="11" t="str">
        <f t="shared" si="19"/>
        <v/>
      </c>
    </row>
    <row r="603" spans="2:5" x14ac:dyDescent="0.25">
      <c r="B603" s="11" t="str">
        <f>IF(A603="","",'Cálculos y conversiones'!$B$14)</f>
        <v/>
      </c>
      <c r="C603" s="11" t="str">
        <f>IF(A603="","",'Cálculos y conversiones'!$B$11*Tabla!E602)</f>
        <v/>
      </c>
      <c r="D603" s="11" t="str">
        <f t="shared" si="18"/>
        <v/>
      </c>
      <c r="E603" s="11" t="str">
        <f t="shared" si="19"/>
        <v/>
      </c>
    </row>
    <row r="604" spans="2:5" x14ac:dyDescent="0.25">
      <c r="B604" s="11" t="str">
        <f>IF(A604="","",'Cálculos y conversiones'!$B$14)</f>
        <v/>
      </c>
      <c r="C604" s="11" t="str">
        <f>IF(A604="","",'Cálculos y conversiones'!$B$11*Tabla!E603)</f>
        <v/>
      </c>
      <c r="D604" s="11" t="str">
        <f t="shared" si="18"/>
        <v/>
      </c>
      <c r="E604" s="11" t="str">
        <f t="shared" si="19"/>
        <v/>
      </c>
    </row>
    <row r="605" spans="2:5" x14ac:dyDescent="0.25">
      <c r="B605" s="11" t="str">
        <f>IF(A605="","",'Cálculos y conversiones'!$B$14)</f>
        <v/>
      </c>
      <c r="C605" s="11" t="str">
        <f>IF(A605="","",'Cálculos y conversiones'!$B$11*Tabla!E604)</f>
        <v/>
      </c>
      <c r="D605" s="11" t="str">
        <f t="shared" si="18"/>
        <v/>
      </c>
      <c r="E605" s="11" t="str">
        <f t="shared" si="19"/>
        <v/>
      </c>
    </row>
    <row r="606" spans="2:5" x14ac:dyDescent="0.25">
      <c r="B606" s="11" t="str">
        <f>IF(A606="","",'Cálculos y conversiones'!$B$14)</f>
        <v/>
      </c>
      <c r="C606" s="11" t="str">
        <f>IF(A606="","",'Cálculos y conversiones'!$B$11*Tabla!E605)</f>
        <v/>
      </c>
      <c r="D606" s="11" t="str">
        <f t="shared" si="18"/>
        <v/>
      </c>
      <c r="E606" s="11" t="str">
        <f t="shared" si="19"/>
        <v/>
      </c>
    </row>
    <row r="607" spans="2:5" x14ac:dyDescent="0.25">
      <c r="B607" s="11" t="str">
        <f>IF(A607="","",'Cálculos y conversiones'!$B$14)</f>
        <v/>
      </c>
      <c r="C607" s="11" t="str">
        <f>IF(A607="","",'Cálculos y conversiones'!$B$11*Tabla!E606)</f>
        <v/>
      </c>
      <c r="D607" s="11" t="str">
        <f t="shared" si="18"/>
        <v/>
      </c>
      <c r="E607" s="11" t="str">
        <f t="shared" si="19"/>
        <v/>
      </c>
    </row>
    <row r="608" spans="2:5" x14ac:dyDescent="0.25">
      <c r="B608" s="11" t="str">
        <f>IF(A608="","",'Cálculos y conversiones'!$B$14)</f>
        <v/>
      </c>
      <c r="C608" s="11" t="str">
        <f>IF(A608="","",'Cálculos y conversiones'!$B$11*Tabla!E607)</f>
        <v/>
      </c>
      <c r="D608" s="11" t="str">
        <f t="shared" si="18"/>
        <v/>
      </c>
      <c r="E608" s="11" t="str">
        <f t="shared" si="19"/>
        <v/>
      </c>
    </row>
    <row r="609" spans="2:5" x14ac:dyDescent="0.25">
      <c r="B609" s="11" t="str">
        <f>IF(A609="","",'Cálculos y conversiones'!$B$14)</f>
        <v/>
      </c>
      <c r="C609" s="11" t="str">
        <f>IF(A609="","",'Cálculos y conversiones'!$B$11*Tabla!E608)</f>
        <v/>
      </c>
      <c r="D609" s="11" t="str">
        <f t="shared" si="18"/>
        <v/>
      </c>
      <c r="E609" s="11" t="str">
        <f t="shared" si="19"/>
        <v/>
      </c>
    </row>
    <row r="610" spans="2:5" x14ac:dyDescent="0.25">
      <c r="B610" s="11" t="str">
        <f>IF(A610="","",'Cálculos y conversiones'!$B$14)</f>
        <v/>
      </c>
      <c r="C610" s="11" t="str">
        <f>IF(A610="","",'Cálculos y conversiones'!$B$11*Tabla!E609)</f>
        <v/>
      </c>
      <c r="D610" s="11" t="str">
        <f t="shared" si="18"/>
        <v/>
      </c>
      <c r="E610" s="11" t="str">
        <f t="shared" si="19"/>
        <v/>
      </c>
    </row>
    <row r="611" spans="2:5" x14ac:dyDescent="0.25">
      <c r="B611" s="11" t="str">
        <f>IF(A611="","",'Cálculos y conversiones'!$B$14)</f>
        <v/>
      </c>
      <c r="C611" s="11" t="str">
        <f>IF(A611="","",'Cálculos y conversiones'!$B$11*Tabla!E610)</f>
        <v/>
      </c>
      <c r="D611" s="11" t="str">
        <f t="shared" si="18"/>
        <v/>
      </c>
      <c r="E611" s="11" t="str">
        <f t="shared" si="19"/>
        <v/>
      </c>
    </row>
    <row r="612" spans="2:5" x14ac:dyDescent="0.25">
      <c r="B612" s="11" t="str">
        <f>IF(A612="","",'Cálculos y conversiones'!$B$14)</f>
        <v/>
      </c>
      <c r="C612" s="11" t="str">
        <f>IF(A612="","",'Cálculos y conversiones'!$B$11*Tabla!E611)</f>
        <v/>
      </c>
      <c r="D612" s="11" t="str">
        <f t="shared" si="18"/>
        <v/>
      </c>
      <c r="E612" s="11" t="str">
        <f t="shared" si="19"/>
        <v/>
      </c>
    </row>
    <row r="613" spans="2:5" x14ac:dyDescent="0.25">
      <c r="B613" s="11" t="str">
        <f>IF(A613="","",'Cálculos y conversiones'!$B$14)</f>
        <v/>
      </c>
      <c r="C613" s="11" t="str">
        <f>IF(A613="","",'Cálculos y conversiones'!$B$11*Tabla!E612)</f>
        <v/>
      </c>
      <c r="D613" s="11" t="str">
        <f t="shared" si="18"/>
        <v/>
      </c>
      <c r="E613" s="11" t="str">
        <f t="shared" si="19"/>
        <v/>
      </c>
    </row>
    <row r="614" spans="2:5" x14ac:dyDescent="0.25">
      <c r="B614" s="11" t="str">
        <f>IF(A614="","",'Cálculos y conversiones'!$B$14)</f>
        <v/>
      </c>
      <c r="C614" s="11" t="str">
        <f>IF(A614="","",'Cálculos y conversiones'!$B$11*Tabla!E613)</f>
        <v/>
      </c>
      <c r="D614" s="11" t="str">
        <f t="shared" si="18"/>
        <v/>
      </c>
      <c r="E614" s="11" t="str">
        <f t="shared" si="19"/>
        <v/>
      </c>
    </row>
    <row r="615" spans="2:5" x14ac:dyDescent="0.25">
      <c r="B615" s="11" t="str">
        <f>IF(A615="","",'Cálculos y conversiones'!$B$14)</f>
        <v/>
      </c>
      <c r="C615" s="11" t="str">
        <f>IF(A615="","",'Cálculos y conversiones'!$B$11*Tabla!E614)</f>
        <v/>
      </c>
      <c r="D615" s="11" t="str">
        <f t="shared" si="18"/>
        <v/>
      </c>
      <c r="E615" s="11" t="str">
        <f t="shared" si="19"/>
        <v/>
      </c>
    </row>
    <row r="616" spans="2:5" x14ac:dyDescent="0.25">
      <c r="B616" s="11" t="str">
        <f>IF(A616="","",'Cálculos y conversiones'!$B$14)</f>
        <v/>
      </c>
      <c r="C616" s="11" t="str">
        <f>IF(A616="","",'Cálculos y conversiones'!$B$11*Tabla!E615)</f>
        <v/>
      </c>
      <c r="D616" s="11" t="str">
        <f t="shared" si="18"/>
        <v/>
      </c>
      <c r="E616" s="11" t="str">
        <f t="shared" si="19"/>
        <v/>
      </c>
    </row>
    <row r="617" spans="2:5" x14ac:dyDescent="0.25">
      <c r="B617" s="11" t="str">
        <f>IF(A617="","",'Cálculos y conversiones'!$B$14)</f>
        <v/>
      </c>
      <c r="C617" s="11" t="str">
        <f>IF(A617="","",'Cálculos y conversiones'!$B$11*Tabla!E616)</f>
        <v/>
      </c>
      <c r="D617" s="11" t="str">
        <f t="shared" si="18"/>
        <v/>
      </c>
      <c r="E617" s="11" t="str">
        <f t="shared" si="19"/>
        <v/>
      </c>
    </row>
    <row r="618" spans="2:5" x14ac:dyDescent="0.25">
      <c r="B618" s="11" t="str">
        <f>IF(A618="","",'Cálculos y conversiones'!$B$14)</f>
        <v/>
      </c>
      <c r="C618" s="11" t="str">
        <f>IF(A618="","",'Cálculos y conversiones'!$B$11*Tabla!E617)</f>
        <v/>
      </c>
      <c r="D618" s="11" t="str">
        <f t="shared" si="18"/>
        <v/>
      </c>
      <c r="E618" s="11" t="str">
        <f t="shared" si="19"/>
        <v/>
      </c>
    </row>
    <row r="619" spans="2:5" x14ac:dyDescent="0.25">
      <c r="B619" s="11" t="str">
        <f>IF(A619="","",'Cálculos y conversiones'!$B$14)</f>
        <v/>
      </c>
      <c r="C619" s="11" t="str">
        <f>IF(A619="","",'Cálculos y conversiones'!$B$11*Tabla!E618)</f>
        <v/>
      </c>
      <c r="D619" s="11" t="str">
        <f t="shared" si="18"/>
        <v/>
      </c>
      <c r="E619" s="11" t="str">
        <f t="shared" si="19"/>
        <v/>
      </c>
    </row>
    <row r="620" spans="2:5" x14ac:dyDescent="0.25">
      <c r="B620" s="11" t="str">
        <f>IF(A620="","",'Cálculos y conversiones'!$B$14)</f>
        <v/>
      </c>
      <c r="C620" s="11" t="str">
        <f>IF(A620="","",'Cálculos y conversiones'!$B$11*Tabla!E619)</f>
        <v/>
      </c>
      <c r="D620" s="11" t="str">
        <f t="shared" si="18"/>
        <v/>
      </c>
      <c r="E620" s="11" t="str">
        <f t="shared" si="19"/>
        <v/>
      </c>
    </row>
    <row r="621" spans="2:5" x14ac:dyDescent="0.25">
      <c r="B621" s="11" t="str">
        <f>IF(A621="","",'Cálculos y conversiones'!$B$14)</f>
        <v/>
      </c>
      <c r="C621" s="11" t="str">
        <f>IF(A621="","",'Cálculos y conversiones'!$B$11*Tabla!E620)</f>
        <v/>
      </c>
      <c r="D621" s="11" t="str">
        <f t="shared" si="18"/>
        <v/>
      </c>
      <c r="E621" s="11" t="str">
        <f t="shared" si="19"/>
        <v/>
      </c>
    </row>
    <row r="622" spans="2:5" x14ac:dyDescent="0.25">
      <c r="B622" s="11" t="str">
        <f>IF(A622="","",'Cálculos y conversiones'!$B$14)</f>
        <v/>
      </c>
      <c r="C622" s="11" t="str">
        <f>IF(A622="","",'Cálculos y conversiones'!$B$11*Tabla!E621)</f>
        <v/>
      </c>
      <c r="D622" s="11" t="str">
        <f t="shared" si="18"/>
        <v/>
      </c>
      <c r="E622" s="11" t="str">
        <f t="shared" si="19"/>
        <v/>
      </c>
    </row>
    <row r="623" spans="2:5" x14ac:dyDescent="0.25">
      <c r="B623" s="11" t="str">
        <f>IF(A623="","",'Cálculos y conversiones'!$B$14)</f>
        <v/>
      </c>
      <c r="C623" s="11" t="str">
        <f>IF(A623="","",'Cálculos y conversiones'!$B$11*Tabla!E622)</f>
        <v/>
      </c>
      <c r="D623" s="11" t="str">
        <f t="shared" si="18"/>
        <v/>
      </c>
      <c r="E623" s="11" t="str">
        <f t="shared" si="19"/>
        <v/>
      </c>
    </row>
    <row r="624" spans="2:5" x14ac:dyDescent="0.25">
      <c r="B624" s="11" t="str">
        <f>IF(A624="","",'Cálculos y conversiones'!$B$14)</f>
        <v/>
      </c>
      <c r="C624" s="11" t="str">
        <f>IF(A624="","",'Cálculos y conversiones'!$B$11*Tabla!E623)</f>
        <v/>
      </c>
      <c r="D624" s="11" t="str">
        <f t="shared" si="18"/>
        <v/>
      </c>
      <c r="E624" s="11" t="str">
        <f t="shared" si="19"/>
        <v/>
      </c>
    </row>
    <row r="625" spans="2:5" x14ac:dyDescent="0.25">
      <c r="B625" s="11" t="str">
        <f>IF(A625="","",'Cálculos y conversiones'!$B$14)</f>
        <v/>
      </c>
      <c r="C625" s="11" t="str">
        <f>IF(A625="","",'Cálculos y conversiones'!$B$11*Tabla!E624)</f>
        <v/>
      </c>
      <c r="D625" s="11" t="str">
        <f t="shared" si="18"/>
        <v/>
      </c>
      <c r="E625" s="11" t="str">
        <f t="shared" si="19"/>
        <v/>
      </c>
    </row>
    <row r="626" spans="2:5" x14ac:dyDescent="0.25">
      <c r="B626" s="11" t="str">
        <f>IF(A626="","",'Cálculos y conversiones'!$B$14)</f>
        <v/>
      </c>
      <c r="C626" s="11" t="str">
        <f>IF(A626="","",'Cálculos y conversiones'!$B$11*Tabla!E625)</f>
        <v/>
      </c>
      <c r="D626" s="11" t="str">
        <f t="shared" si="18"/>
        <v/>
      </c>
      <c r="E626" s="11" t="str">
        <f t="shared" si="19"/>
        <v/>
      </c>
    </row>
    <row r="627" spans="2:5" x14ac:dyDescent="0.25">
      <c r="B627" s="11" t="str">
        <f>IF(A627="","",'Cálculos y conversiones'!$B$14)</f>
        <v/>
      </c>
      <c r="C627" s="11" t="str">
        <f>IF(A627="","",'Cálculos y conversiones'!$B$11*Tabla!E626)</f>
        <v/>
      </c>
      <c r="D627" s="11" t="str">
        <f t="shared" si="18"/>
        <v/>
      </c>
      <c r="E627" s="11" t="str">
        <f t="shared" si="19"/>
        <v/>
      </c>
    </row>
    <row r="628" spans="2:5" x14ac:dyDescent="0.25">
      <c r="B628" s="11" t="str">
        <f>IF(A628="","",'Cálculos y conversiones'!$B$14)</f>
        <v/>
      </c>
      <c r="C628" s="11" t="str">
        <f>IF(A628="","",'Cálculos y conversiones'!$B$11*Tabla!E627)</f>
        <v/>
      </c>
      <c r="D628" s="11" t="str">
        <f t="shared" si="18"/>
        <v/>
      </c>
      <c r="E628" s="11" t="str">
        <f t="shared" si="19"/>
        <v/>
      </c>
    </row>
    <row r="629" spans="2:5" x14ac:dyDescent="0.25">
      <c r="B629" s="11" t="str">
        <f>IF(A629="","",'Cálculos y conversiones'!$B$14)</f>
        <v/>
      </c>
      <c r="C629" s="11" t="str">
        <f>IF(A629="","",'Cálculos y conversiones'!$B$11*Tabla!E628)</f>
        <v/>
      </c>
      <c r="D629" s="11" t="str">
        <f t="shared" si="18"/>
        <v/>
      </c>
      <c r="E629" s="11" t="str">
        <f t="shared" si="19"/>
        <v/>
      </c>
    </row>
    <row r="630" spans="2:5" x14ac:dyDescent="0.25">
      <c r="B630" s="11" t="str">
        <f>IF(A630="","",'Cálculos y conversiones'!$B$14)</f>
        <v/>
      </c>
      <c r="C630" s="11" t="str">
        <f>IF(A630="","",'Cálculos y conversiones'!$B$11*Tabla!E629)</f>
        <v/>
      </c>
      <c r="D630" s="11" t="str">
        <f t="shared" si="18"/>
        <v/>
      </c>
      <c r="E630" s="11" t="str">
        <f t="shared" si="19"/>
        <v/>
      </c>
    </row>
    <row r="631" spans="2:5" x14ac:dyDescent="0.25">
      <c r="B631" s="11" t="str">
        <f>IF(A631="","",'Cálculos y conversiones'!$B$14)</f>
        <v/>
      </c>
      <c r="C631" s="11" t="str">
        <f>IF(A631="","",'Cálculos y conversiones'!$B$11*Tabla!E630)</f>
        <v/>
      </c>
      <c r="D631" s="11" t="str">
        <f t="shared" si="18"/>
        <v/>
      </c>
      <c r="E631" s="11" t="str">
        <f t="shared" si="19"/>
        <v/>
      </c>
    </row>
    <row r="632" spans="2:5" x14ac:dyDescent="0.25">
      <c r="B632" s="11" t="str">
        <f>IF(A632="","",'Cálculos y conversiones'!$B$14)</f>
        <v/>
      </c>
      <c r="C632" s="11" t="str">
        <f>IF(A632="","",'Cálculos y conversiones'!$B$11*Tabla!E631)</f>
        <v/>
      </c>
      <c r="D632" s="11" t="str">
        <f t="shared" si="18"/>
        <v/>
      </c>
      <c r="E632" s="11" t="str">
        <f t="shared" si="19"/>
        <v/>
      </c>
    </row>
    <row r="633" spans="2:5" x14ac:dyDescent="0.25">
      <c r="B633" s="11" t="str">
        <f>IF(A633="","",'Cálculos y conversiones'!$B$14)</f>
        <v/>
      </c>
      <c r="C633" s="11" t="str">
        <f>IF(A633="","",'Cálculos y conversiones'!$B$11*Tabla!E632)</f>
        <v/>
      </c>
      <c r="D633" s="11" t="str">
        <f t="shared" si="18"/>
        <v/>
      </c>
      <c r="E633" s="11" t="str">
        <f t="shared" si="19"/>
        <v/>
      </c>
    </row>
    <row r="634" spans="2:5" x14ac:dyDescent="0.25">
      <c r="B634" s="11" t="str">
        <f>IF(A634="","",'Cálculos y conversiones'!$B$14)</f>
        <v/>
      </c>
      <c r="C634" s="11" t="str">
        <f>IF(A634="","",'Cálculos y conversiones'!$B$11*Tabla!E633)</f>
        <v/>
      </c>
      <c r="D634" s="11" t="str">
        <f t="shared" si="18"/>
        <v/>
      </c>
      <c r="E634" s="11" t="str">
        <f t="shared" si="19"/>
        <v/>
      </c>
    </row>
    <row r="635" spans="2:5" x14ac:dyDescent="0.25">
      <c r="B635" s="11" t="str">
        <f>IF(A635="","",'Cálculos y conversiones'!$B$14)</f>
        <v/>
      </c>
      <c r="C635" s="11" t="str">
        <f>IF(A635="","",'Cálculos y conversiones'!$B$11*Tabla!E634)</f>
        <v/>
      </c>
      <c r="D635" s="11" t="str">
        <f t="shared" si="18"/>
        <v/>
      </c>
      <c r="E635" s="11" t="str">
        <f t="shared" si="19"/>
        <v/>
      </c>
    </row>
    <row r="636" spans="2:5" x14ac:dyDescent="0.25">
      <c r="B636" s="11" t="str">
        <f>IF(A636="","",'Cálculos y conversiones'!$B$14)</f>
        <v/>
      </c>
      <c r="C636" s="11" t="str">
        <f>IF(A636="","",'Cálculos y conversiones'!$B$11*Tabla!E635)</f>
        <v/>
      </c>
      <c r="D636" s="11" t="str">
        <f t="shared" si="18"/>
        <v/>
      </c>
      <c r="E636" s="11" t="str">
        <f t="shared" si="19"/>
        <v/>
      </c>
    </row>
    <row r="637" spans="2:5" x14ac:dyDescent="0.25">
      <c r="B637" s="11" t="str">
        <f>IF(A637="","",'Cálculos y conversiones'!$B$14)</f>
        <v/>
      </c>
      <c r="C637" s="11" t="str">
        <f>IF(A637="","",'Cálculos y conversiones'!$B$11*Tabla!E636)</f>
        <v/>
      </c>
      <c r="D637" s="11" t="str">
        <f t="shared" si="18"/>
        <v/>
      </c>
      <c r="E637" s="11" t="str">
        <f t="shared" si="19"/>
        <v/>
      </c>
    </row>
    <row r="638" spans="2:5" x14ac:dyDescent="0.25">
      <c r="B638" s="11" t="str">
        <f>IF(A638="","",'Cálculos y conversiones'!$B$14)</f>
        <v/>
      </c>
      <c r="C638" s="11" t="str">
        <f>IF(A638="","",'Cálculos y conversiones'!$B$11*Tabla!E637)</f>
        <v/>
      </c>
      <c r="D638" s="11" t="str">
        <f t="shared" si="18"/>
        <v/>
      </c>
      <c r="E638" s="11" t="str">
        <f t="shared" si="19"/>
        <v/>
      </c>
    </row>
    <row r="639" spans="2:5" x14ac:dyDescent="0.25">
      <c r="B639" s="11" t="str">
        <f>IF(A639="","",'Cálculos y conversiones'!$B$14)</f>
        <v/>
      </c>
      <c r="C639" s="11" t="str">
        <f>IF(A639="","",'Cálculos y conversiones'!$B$11*Tabla!E638)</f>
        <v/>
      </c>
      <c r="D639" s="11" t="str">
        <f t="shared" si="18"/>
        <v/>
      </c>
      <c r="E639" s="11" t="str">
        <f t="shared" si="19"/>
        <v/>
      </c>
    </row>
    <row r="640" spans="2:5" x14ac:dyDescent="0.25">
      <c r="B640" s="11" t="str">
        <f>IF(A640="","",'Cálculos y conversiones'!$B$14)</f>
        <v/>
      </c>
      <c r="C640" s="11" t="str">
        <f>IF(A640="","",'Cálculos y conversiones'!$B$11*Tabla!E639)</f>
        <v/>
      </c>
      <c r="D640" s="11" t="str">
        <f t="shared" si="18"/>
        <v/>
      </c>
      <c r="E640" s="11" t="str">
        <f t="shared" si="19"/>
        <v/>
      </c>
    </row>
    <row r="641" spans="2:5" x14ac:dyDescent="0.25">
      <c r="B641" s="11" t="str">
        <f>IF(A641="","",'Cálculos y conversiones'!$B$14)</f>
        <v/>
      </c>
      <c r="C641" s="11" t="str">
        <f>IF(A641="","",'Cálculos y conversiones'!$B$11*Tabla!E640)</f>
        <v/>
      </c>
      <c r="D641" s="11" t="str">
        <f t="shared" si="18"/>
        <v/>
      </c>
      <c r="E641" s="11" t="str">
        <f t="shared" si="19"/>
        <v/>
      </c>
    </row>
    <row r="642" spans="2:5" x14ac:dyDescent="0.25">
      <c r="B642" s="11" t="str">
        <f>IF(A642="","",'Cálculos y conversiones'!$B$14)</f>
        <v/>
      </c>
      <c r="C642" s="11" t="str">
        <f>IF(A642="","",'Cálculos y conversiones'!$B$11*Tabla!E641)</f>
        <v/>
      </c>
      <c r="D642" s="11" t="str">
        <f t="shared" si="18"/>
        <v/>
      </c>
      <c r="E642" s="11" t="str">
        <f t="shared" si="19"/>
        <v/>
      </c>
    </row>
    <row r="643" spans="2:5" x14ac:dyDescent="0.25">
      <c r="B643" s="11" t="str">
        <f>IF(A643="","",'Cálculos y conversiones'!$B$14)</f>
        <v/>
      </c>
      <c r="C643" s="11" t="str">
        <f>IF(A643="","",'Cálculos y conversiones'!$B$11*Tabla!E642)</f>
        <v/>
      </c>
      <c r="D643" s="11" t="str">
        <f t="shared" si="18"/>
        <v/>
      </c>
      <c r="E643" s="11" t="str">
        <f t="shared" si="19"/>
        <v/>
      </c>
    </row>
    <row r="644" spans="2:5" x14ac:dyDescent="0.25">
      <c r="B644" s="11" t="str">
        <f>IF(A644="","",'Cálculos y conversiones'!$B$14)</f>
        <v/>
      </c>
      <c r="C644" s="11" t="str">
        <f>IF(A644="","",'Cálculos y conversiones'!$B$11*Tabla!E643)</f>
        <v/>
      </c>
      <c r="D644" s="11" t="str">
        <f t="shared" si="18"/>
        <v/>
      </c>
      <c r="E644" s="11" t="str">
        <f t="shared" si="19"/>
        <v/>
      </c>
    </row>
    <row r="645" spans="2:5" x14ac:dyDescent="0.25">
      <c r="B645" s="11" t="str">
        <f>IF(A645="","",'Cálculos y conversiones'!$B$14)</f>
        <v/>
      </c>
      <c r="C645" s="11" t="str">
        <f>IF(A645="","",'Cálculos y conversiones'!$B$11*Tabla!E644)</f>
        <v/>
      </c>
      <c r="D645" s="11" t="str">
        <f t="shared" si="18"/>
        <v/>
      </c>
      <c r="E645" s="11" t="str">
        <f t="shared" si="19"/>
        <v/>
      </c>
    </row>
    <row r="646" spans="2:5" x14ac:dyDescent="0.25">
      <c r="B646" s="11" t="str">
        <f>IF(A646="","",'Cálculos y conversiones'!$B$14)</f>
        <v/>
      </c>
      <c r="C646" s="11" t="str">
        <f>IF(A646="","",'Cálculos y conversiones'!$B$11*Tabla!E645)</f>
        <v/>
      </c>
      <c r="D646" s="11" t="str">
        <f t="shared" si="18"/>
        <v/>
      </c>
      <c r="E646" s="11" t="str">
        <f t="shared" si="19"/>
        <v/>
      </c>
    </row>
    <row r="647" spans="2:5" x14ac:dyDescent="0.25">
      <c r="B647" s="11" t="str">
        <f>IF(A647="","",'Cálculos y conversiones'!$B$14)</f>
        <v/>
      </c>
      <c r="C647" s="11" t="str">
        <f>IF(A647="","",'Cálculos y conversiones'!$B$11*Tabla!E646)</f>
        <v/>
      </c>
      <c r="D647" s="11" t="str">
        <f t="shared" si="18"/>
        <v/>
      </c>
      <c r="E647" s="11" t="str">
        <f t="shared" si="19"/>
        <v/>
      </c>
    </row>
    <row r="648" spans="2:5" x14ac:dyDescent="0.25">
      <c r="B648" s="11" t="str">
        <f>IF(A648="","",'Cálculos y conversiones'!$B$14)</f>
        <v/>
      </c>
      <c r="C648" s="11" t="str">
        <f>IF(A648="","",'Cálculos y conversiones'!$B$11*Tabla!E647)</f>
        <v/>
      </c>
      <c r="D648" s="11" t="str">
        <f t="shared" si="18"/>
        <v/>
      </c>
      <c r="E648" s="11" t="str">
        <f t="shared" si="19"/>
        <v/>
      </c>
    </row>
    <row r="649" spans="2:5" x14ac:dyDescent="0.25">
      <c r="B649" s="11" t="str">
        <f>IF(A649="","",'Cálculos y conversiones'!$B$14)</f>
        <v/>
      </c>
      <c r="C649" s="11" t="str">
        <f>IF(A649="","",'Cálculos y conversiones'!$B$11*Tabla!E648)</f>
        <v/>
      </c>
      <c r="D649" s="11" t="str">
        <f t="shared" si="18"/>
        <v/>
      </c>
      <c r="E649" s="11" t="str">
        <f t="shared" si="19"/>
        <v/>
      </c>
    </row>
    <row r="650" spans="2:5" x14ac:dyDescent="0.25">
      <c r="B650" s="11" t="str">
        <f>IF(A650="","",'Cálculos y conversiones'!$B$14)</f>
        <v/>
      </c>
      <c r="C650" s="11" t="str">
        <f>IF(A650="","",'Cálculos y conversiones'!$B$11*Tabla!E649)</f>
        <v/>
      </c>
      <c r="D650" s="11" t="str">
        <f t="shared" ref="D650:D713" si="20">IF(A650="","",B650-C650)</f>
        <v/>
      </c>
      <c r="E650" s="11" t="str">
        <f t="shared" ref="E650:E713" si="21">IF(A650="","",E649-D650)</f>
        <v/>
      </c>
    </row>
    <row r="651" spans="2:5" x14ac:dyDescent="0.25">
      <c r="B651" s="11" t="str">
        <f>IF(A651="","",'Cálculos y conversiones'!$B$14)</f>
        <v/>
      </c>
      <c r="C651" s="11" t="str">
        <f>IF(A651="","",'Cálculos y conversiones'!$B$11*Tabla!E650)</f>
        <v/>
      </c>
      <c r="D651" s="11" t="str">
        <f t="shared" si="20"/>
        <v/>
      </c>
      <c r="E651" s="11" t="str">
        <f t="shared" si="21"/>
        <v/>
      </c>
    </row>
    <row r="652" spans="2:5" x14ac:dyDescent="0.25">
      <c r="B652" s="11" t="str">
        <f>IF(A652="","",'Cálculos y conversiones'!$B$14)</f>
        <v/>
      </c>
      <c r="C652" s="11" t="str">
        <f>IF(A652="","",'Cálculos y conversiones'!$B$11*Tabla!E651)</f>
        <v/>
      </c>
      <c r="D652" s="11" t="str">
        <f t="shared" si="20"/>
        <v/>
      </c>
      <c r="E652" s="11" t="str">
        <f t="shared" si="21"/>
        <v/>
      </c>
    </row>
    <row r="653" spans="2:5" x14ac:dyDescent="0.25">
      <c r="B653" s="11" t="str">
        <f>IF(A653="","",'Cálculos y conversiones'!$B$14)</f>
        <v/>
      </c>
      <c r="C653" s="11" t="str">
        <f>IF(A653="","",'Cálculos y conversiones'!$B$11*Tabla!E652)</f>
        <v/>
      </c>
      <c r="D653" s="11" t="str">
        <f t="shared" si="20"/>
        <v/>
      </c>
      <c r="E653" s="11" t="str">
        <f t="shared" si="21"/>
        <v/>
      </c>
    </row>
    <row r="654" spans="2:5" x14ac:dyDescent="0.25">
      <c r="B654" s="11" t="str">
        <f>IF(A654="","",'Cálculos y conversiones'!$B$14)</f>
        <v/>
      </c>
      <c r="C654" s="11" t="str">
        <f>IF(A654="","",'Cálculos y conversiones'!$B$11*Tabla!E653)</f>
        <v/>
      </c>
      <c r="D654" s="11" t="str">
        <f t="shared" si="20"/>
        <v/>
      </c>
      <c r="E654" s="11" t="str">
        <f t="shared" si="21"/>
        <v/>
      </c>
    </row>
    <row r="655" spans="2:5" x14ac:dyDescent="0.25">
      <c r="B655" s="11" t="str">
        <f>IF(A655="","",'Cálculos y conversiones'!$B$14)</f>
        <v/>
      </c>
      <c r="C655" s="11" t="str">
        <f>IF(A655="","",'Cálculos y conversiones'!$B$11*Tabla!E654)</f>
        <v/>
      </c>
      <c r="D655" s="11" t="str">
        <f t="shared" si="20"/>
        <v/>
      </c>
      <c r="E655" s="11" t="str">
        <f t="shared" si="21"/>
        <v/>
      </c>
    </row>
    <row r="656" spans="2:5" x14ac:dyDescent="0.25">
      <c r="B656" s="11" t="str">
        <f>IF(A656="","",'Cálculos y conversiones'!$B$14)</f>
        <v/>
      </c>
      <c r="C656" s="11" t="str">
        <f>IF(A656="","",'Cálculos y conversiones'!$B$11*Tabla!E655)</f>
        <v/>
      </c>
      <c r="D656" s="11" t="str">
        <f t="shared" si="20"/>
        <v/>
      </c>
      <c r="E656" s="11" t="str">
        <f t="shared" si="21"/>
        <v/>
      </c>
    </row>
    <row r="657" spans="2:5" x14ac:dyDescent="0.25">
      <c r="B657" s="11" t="str">
        <f>IF(A657="","",'Cálculos y conversiones'!$B$14)</f>
        <v/>
      </c>
      <c r="C657" s="11" t="str">
        <f>IF(A657="","",'Cálculos y conversiones'!$B$11*Tabla!E656)</f>
        <v/>
      </c>
      <c r="D657" s="11" t="str">
        <f t="shared" si="20"/>
        <v/>
      </c>
      <c r="E657" s="11" t="str">
        <f t="shared" si="21"/>
        <v/>
      </c>
    </row>
    <row r="658" spans="2:5" x14ac:dyDescent="0.25">
      <c r="B658" s="11" t="str">
        <f>IF(A658="","",'Cálculos y conversiones'!$B$14)</f>
        <v/>
      </c>
      <c r="C658" s="11" t="str">
        <f>IF(A658="","",'Cálculos y conversiones'!$B$11*Tabla!E657)</f>
        <v/>
      </c>
      <c r="D658" s="11" t="str">
        <f t="shared" si="20"/>
        <v/>
      </c>
      <c r="E658" s="11" t="str">
        <f t="shared" si="21"/>
        <v/>
      </c>
    </row>
    <row r="659" spans="2:5" x14ac:dyDescent="0.25">
      <c r="B659" s="11" t="str">
        <f>IF(A659="","",'Cálculos y conversiones'!$B$14)</f>
        <v/>
      </c>
      <c r="C659" s="11" t="str">
        <f>IF(A659="","",'Cálculos y conversiones'!$B$11*Tabla!E658)</f>
        <v/>
      </c>
      <c r="D659" s="11" t="str">
        <f t="shared" si="20"/>
        <v/>
      </c>
      <c r="E659" s="11" t="str">
        <f t="shared" si="21"/>
        <v/>
      </c>
    </row>
    <row r="660" spans="2:5" x14ac:dyDescent="0.25">
      <c r="B660" s="11" t="str">
        <f>IF(A660="","",'Cálculos y conversiones'!$B$14)</f>
        <v/>
      </c>
      <c r="C660" s="11" t="str">
        <f>IF(A660="","",'Cálculos y conversiones'!$B$11*Tabla!E659)</f>
        <v/>
      </c>
      <c r="D660" s="11" t="str">
        <f t="shared" si="20"/>
        <v/>
      </c>
      <c r="E660" s="11" t="str">
        <f t="shared" si="21"/>
        <v/>
      </c>
    </row>
    <row r="661" spans="2:5" x14ac:dyDescent="0.25">
      <c r="B661" s="11" t="str">
        <f>IF(A661="","",'Cálculos y conversiones'!$B$14)</f>
        <v/>
      </c>
      <c r="C661" s="11" t="str">
        <f>IF(A661="","",'Cálculos y conversiones'!$B$11*Tabla!E660)</f>
        <v/>
      </c>
      <c r="D661" s="11" t="str">
        <f t="shared" si="20"/>
        <v/>
      </c>
      <c r="E661" s="11" t="str">
        <f t="shared" si="21"/>
        <v/>
      </c>
    </row>
    <row r="662" spans="2:5" x14ac:dyDescent="0.25">
      <c r="B662" s="11" t="str">
        <f>IF(A662="","",'Cálculos y conversiones'!$B$14)</f>
        <v/>
      </c>
      <c r="C662" s="11" t="str">
        <f>IF(A662="","",'Cálculos y conversiones'!$B$11*Tabla!E661)</f>
        <v/>
      </c>
      <c r="D662" s="11" t="str">
        <f t="shared" si="20"/>
        <v/>
      </c>
      <c r="E662" s="11" t="str">
        <f t="shared" si="21"/>
        <v/>
      </c>
    </row>
    <row r="663" spans="2:5" x14ac:dyDescent="0.25">
      <c r="B663" s="11" t="str">
        <f>IF(A663="","",'Cálculos y conversiones'!$B$14)</f>
        <v/>
      </c>
      <c r="C663" s="11" t="str">
        <f>IF(A663="","",'Cálculos y conversiones'!$B$11*Tabla!E662)</f>
        <v/>
      </c>
      <c r="D663" s="11" t="str">
        <f t="shared" si="20"/>
        <v/>
      </c>
      <c r="E663" s="11" t="str">
        <f t="shared" si="21"/>
        <v/>
      </c>
    </row>
    <row r="664" spans="2:5" x14ac:dyDescent="0.25">
      <c r="B664" s="11" t="str">
        <f>IF(A664="","",'Cálculos y conversiones'!$B$14)</f>
        <v/>
      </c>
      <c r="C664" s="11" t="str">
        <f>IF(A664="","",'Cálculos y conversiones'!$B$11*Tabla!E663)</f>
        <v/>
      </c>
      <c r="D664" s="11" t="str">
        <f t="shared" si="20"/>
        <v/>
      </c>
      <c r="E664" s="11" t="str">
        <f t="shared" si="21"/>
        <v/>
      </c>
    </row>
    <row r="665" spans="2:5" x14ac:dyDescent="0.25">
      <c r="B665" s="11" t="str">
        <f>IF(A665="","",'Cálculos y conversiones'!$B$14)</f>
        <v/>
      </c>
      <c r="C665" s="11" t="str">
        <f>IF(A665="","",'Cálculos y conversiones'!$B$11*Tabla!E664)</f>
        <v/>
      </c>
      <c r="D665" s="11" t="str">
        <f t="shared" si="20"/>
        <v/>
      </c>
      <c r="E665" s="11" t="str">
        <f t="shared" si="21"/>
        <v/>
      </c>
    </row>
    <row r="666" spans="2:5" x14ac:dyDescent="0.25">
      <c r="B666" s="11" t="str">
        <f>IF(A666="","",'Cálculos y conversiones'!$B$14)</f>
        <v/>
      </c>
      <c r="C666" s="11" t="str">
        <f>IF(A666="","",'Cálculos y conversiones'!$B$11*Tabla!E665)</f>
        <v/>
      </c>
      <c r="D666" s="11" t="str">
        <f t="shared" si="20"/>
        <v/>
      </c>
      <c r="E666" s="11" t="str">
        <f t="shared" si="21"/>
        <v/>
      </c>
    </row>
    <row r="667" spans="2:5" x14ac:dyDescent="0.25">
      <c r="B667" s="11" t="str">
        <f>IF(A667="","",'Cálculos y conversiones'!$B$14)</f>
        <v/>
      </c>
      <c r="C667" s="11" t="str">
        <f>IF(A667="","",'Cálculos y conversiones'!$B$11*Tabla!E666)</f>
        <v/>
      </c>
      <c r="D667" s="11" t="str">
        <f t="shared" si="20"/>
        <v/>
      </c>
      <c r="E667" s="11" t="str">
        <f t="shared" si="21"/>
        <v/>
      </c>
    </row>
    <row r="668" spans="2:5" x14ac:dyDescent="0.25">
      <c r="B668" s="11" t="str">
        <f>IF(A668="","",'Cálculos y conversiones'!$B$14)</f>
        <v/>
      </c>
      <c r="C668" s="11" t="str">
        <f>IF(A668="","",'Cálculos y conversiones'!$B$11*Tabla!E667)</f>
        <v/>
      </c>
      <c r="D668" s="11" t="str">
        <f t="shared" si="20"/>
        <v/>
      </c>
      <c r="E668" s="11" t="str">
        <f t="shared" si="21"/>
        <v/>
      </c>
    </row>
    <row r="669" spans="2:5" x14ac:dyDescent="0.25">
      <c r="B669" s="11" t="str">
        <f>IF(A669="","",'Cálculos y conversiones'!$B$14)</f>
        <v/>
      </c>
      <c r="C669" s="11" t="str">
        <f>IF(A669="","",'Cálculos y conversiones'!$B$11*Tabla!E668)</f>
        <v/>
      </c>
      <c r="D669" s="11" t="str">
        <f t="shared" si="20"/>
        <v/>
      </c>
      <c r="E669" s="11" t="str">
        <f t="shared" si="21"/>
        <v/>
      </c>
    </row>
    <row r="670" spans="2:5" x14ac:dyDescent="0.25">
      <c r="B670" s="11" t="str">
        <f>IF(A670="","",'Cálculos y conversiones'!$B$14)</f>
        <v/>
      </c>
      <c r="C670" s="11" t="str">
        <f>IF(A670="","",'Cálculos y conversiones'!$B$11*Tabla!E669)</f>
        <v/>
      </c>
      <c r="D670" s="11" t="str">
        <f t="shared" si="20"/>
        <v/>
      </c>
      <c r="E670" s="11" t="str">
        <f t="shared" si="21"/>
        <v/>
      </c>
    </row>
    <row r="671" spans="2:5" x14ac:dyDescent="0.25">
      <c r="B671" s="11" t="str">
        <f>IF(A671="","",'Cálculos y conversiones'!$B$14)</f>
        <v/>
      </c>
      <c r="C671" s="11" t="str">
        <f>IF(A671="","",'Cálculos y conversiones'!$B$11*Tabla!E670)</f>
        <v/>
      </c>
      <c r="D671" s="11" t="str">
        <f t="shared" si="20"/>
        <v/>
      </c>
      <c r="E671" s="11" t="str">
        <f t="shared" si="21"/>
        <v/>
      </c>
    </row>
    <row r="672" spans="2:5" x14ac:dyDescent="0.25">
      <c r="B672" s="11" t="str">
        <f>IF(A672="","",'Cálculos y conversiones'!$B$14)</f>
        <v/>
      </c>
      <c r="C672" s="11" t="str">
        <f>IF(A672="","",'Cálculos y conversiones'!$B$11*Tabla!E671)</f>
        <v/>
      </c>
      <c r="D672" s="11" t="str">
        <f t="shared" si="20"/>
        <v/>
      </c>
      <c r="E672" s="11" t="str">
        <f t="shared" si="21"/>
        <v/>
      </c>
    </row>
    <row r="673" spans="2:5" x14ac:dyDescent="0.25">
      <c r="B673" s="11" t="str">
        <f>IF(A673="","",'Cálculos y conversiones'!$B$14)</f>
        <v/>
      </c>
      <c r="C673" s="11" t="str">
        <f>IF(A673="","",'Cálculos y conversiones'!$B$11*Tabla!E672)</f>
        <v/>
      </c>
      <c r="D673" s="11" t="str">
        <f t="shared" si="20"/>
        <v/>
      </c>
      <c r="E673" s="11" t="str">
        <f t="shared" si="21"/>
        <v/>
      </c>
    </row>
    <row r="674" spans="2:5" x14ac:dyDescent="0.25">
      <c r="B674" s="11" t="str">
        <f>IF(A674="","",'Cálculos y conversiones'!$B$14)</f>
        <v/>
      </c>
      <c r="C674" s="11" t="str">
        <f>IF(A674="","",'Cálculos y conversiones'!$B$11*Tabla!E673)</f>
        <v/>
      </c>
      <c r="D674" s="11" t="str">
        <f t="shared" si="20"/>
        <v/>
      </c>
      <c r="E674" s="11" t="str">
        <f t="shared" si="21"/>
        <v/>
      </c>
    </row>
    <row r="675" spans="2:5" x14ac:dyDescent="0.25">
      <c r="B675" s="11" t="str">
        <f>IF(A675="","",'Cálculos y conversiones'!$B$14)</f>
        <v/>
      </c>
      <c r="C675" s="11" t="str">
        <f>IF(A675="","",'Cálculos y conversiones'!$B$11*Tabla!E674)</f>
        <v/>
      </c>
      <c r="D675" s="11" t="str">
        <f t="shared" si="20"/>
        <v/>
      </c>
      <c r="E675" s="11" t="str">
        <f t="shared" si="21"/>
        <v/>
      </c>
    </row>
    <row r="676" spans="2:5" x14ac:dyDescent="0.25">
      <c r="B676" s="11" t="str">
        <f>IF(A676="","",'Cálculos y conversiones'!$B$14)</f>
        <v/>
      </c>
      <c r="C676" s="11" t="str">
        <f>IF(A676="","",'Cálculos y conversiones'!$B$11*Tabla!E675)</f>
        <v/>
      </c>
      <c r="D676" s="11" t="str">
        <f t="shared" si="20"/>
        <v/>
      </c>
      <c r="E676" s="11" t="str">
        <f t="shared" si="21"/>
        <v/>
      </c>
    </row>
    <row r="677" spans="2:5" x14ac:dyDescent="0.25">
      <c r="B677" s="11" t="str">
        <f>IF(A677="","",'Cálculos y conversiones'!$B$14)</f>
        <v/>
      </c>
      <c r="C677" s="11" t="str">
        <f>IF(A677="","",'Cálculos y conversiones'!$B$11*Tabla!E676)</f>
        <v/>
      </c>
      <c r="D677" s="11" t="str">
        <f t="shared" si="20"/>
        <v/>
      </c>
      <c r="E677" s="11" t="str">
        <f t="shared" si="21"/>
        <v/>
      </c>
    </row>
    <row r="678" spans="2:5" x14ac:dyDescent="0.25">
      <c r="B678" s="11" t="str">
        <f>IF(A678="","",'Cálculos y conversiones'!$B$14)</f>
        <v/>
      </c>
      <c r="C678" s="11" t="str">
        <f>IF(A678="","",'Cálculos y conversiones'!$B$11*Tabla!E677)</f>
        <v/>
      </c>
      <c r="D678" s="11" t="str">
        <f t="shared" si="20"/>
        <v/>
      </c>
      <c r="E678" s="11" t="str">
        <f t="shared" si="21"/>
        <v/>
      </c>
    </row>
    <row r="679" spans="2:5" x14ac:dyDescent="0.25">
      <c r="B679" s="11" t="str">
        <f>IF(A679="","",'Cálculos y conversiones'!$B$14)</f>
        <v/>
      </c>
      <c r="C679" s="11" t="str">
        <f>IF(A679="","",'Cálculos y conversiones'!$B$11*Tabla!E678)</f>
        <v/>
      </c>
      <c r="D679" s="11" t="str">
        <f t="shared" si="20"/>
        <v/>
      </c>
      <c r="E679" s="11" t="str">
        <f t="shared" si="21"/>
        <v/>
      </c>
    </row>
    <row r="680" spans="2:5" x14ac:dyDescent="0.25">
      <c r="B680" s="11" t="str">
        <f>IF(A680="","",'Cálculos y conversiones'!$B$14)</f>
        <v/>
      </c>
      <c r="C680" s="11" t="str">
        <f>IF(A680="","",'Cálculos y conversiones'!$B$11*Tabla!E679)</f>
        <v/>
      </c>
      <c r="D680" s="11" t="str">
        <f t="shared" si="20"/>
        <v/>
      </c>
      <c r="E680" s="11" t="str">
        <f t="shared" si="21"/>
        <v/>
      </c>
    </row>
    <row r="681" spans="2:5" x14ac:dyDescent="0.25">
      <c r="B681" s="11" t="str">
        <f>IF(A681="","",'Cálculos y conversiones'!$B$14)</f>
        <v/>
      </c>
      <c r="C681" s="11" t="str">
        <f>IF(A681="","",'Cálculos y conversiones'!$B$11*Tabla!E680)</f>
        <v/>
      </c>
      <c r="D681" s="11" t="str">
        <f t="shared" si="20"/>
        <v/>
      </c>
      <c r="E681" s="11" t="str">
        <f t="shared" si="21"/>
        <v/>
      </c>
    </row>
    <row r="682" spans="2:5" x14ac:dyDescent="0.25">
      <c r="B682" s="11" t="str">
        <f>IF(A682="","",'Cálculos y conversiones'!$B$14)</f>
        <v/>
      </c>
      <c r="C682" s="11" t="str">
        <f>IF(A682="","",'Cálculos y conversiones'!$B$11*Tabla!E681)</f>
        <v/>
      </c>
      <c r="D682" s="11" t="str">
        <f t="shared" si="20"/>
        <v/>
      </c>
      <c r="E682" s="11" t="str">
        <f t="shared" si="21"/>
        <v/>
      </c>
    </row>
    <row r="683" spans="2:5" x14ac:dyDescent="0.25">
      <c r="B683" s="11" t="str">
        <f>IF(A683="","",'Cálculos y conversiones'!$B$14)</f>
        <v/>
      </c>
      <c r="C683" s="11" t="str">
        <f>IF(A683="","",'Cálculos y conversiones'!$B$11*Tabla!E682)</f>
        <v/>
      </c>
      <c r="D683" s="11" t="str">
        <f t="shared" si="20"/>
        <v/>
      </c>
      <c r="E683" s="11" t="str">
        <f t="shared" si="21"/>
        <v/>
      </c>
    </row>
    <row r="684" spans="2:5" x14ac:dyDescent="0.25">
      <c r="B684" s="11" t="str">
        <f>IF(A684="","",'Cálculos y conversiones'!$B$14)</f>
        <v/>
      </c>
      <c r="C684" s="11" t="str">
        <f>IF(A684="","",'Cálculos y conversiones'!$B$11*Tabla!E683)</f>
        <v/>
      </c>
      <c r="D684" s="11" t="str">
        <f t="shared" si="20"/>
        <v/>
      </c>
      <c r="E684" s="11" t="str">
        <f t="shared" si="21"/>
        <v/>
      </c>
    </row>
    <row r="685" spans="2:5" x14ac:dyDescent="0.25">
      <c r="B685" s="11" t="str">
        <f>IF(A685="","",'Cálculos y conversiones'!$B$14)</f>
        <v/>
      </c>
      <c r="C685" s="11" t="str">
        <f>IF(A685="","",'Cálculos y conversiones'!$B$11*Tabla!E684)</f>
        <v/>
      </c>
      <c r="D685" s="11" t="str">
        <f t="shared" si="20"/>
        <v/>
      </c>
      <c r="E685" s="11" t="str">
        <f t="shared" si="21"/>
        <v/>
      </c>
    </row>
    <row r="686" spans="2:5" x14ac:dyDescent="0.25">
      <c r="B686" s="11" t="str">
        <f>IF(A686="","",'Cálculos y conversiones'!$B$14)</f>
        <v/>
      </c>
      <c r="C686" s="11" t="str">
        <f>IF(A686="","",'Cálculos y conversiones'!$B$11*Tabla!E685)</f>
        <v/>
      </c>
      <c r="D686" s="11" t="str">
        <f t="shared" si="20"/>
        <v/>
      </c>
      <c r="E686" s="11" t="str">
        <f t="shared" si="21"/>
        <v/>
      </c>
    </row>
    <row r="687" spans="2:5" x14ac:dyDescent="0.25">
      <c r="B687" s="11" t="str">
        <f>IF(A687="","",'Cálculos y conversiones'!$B$14)</f>
        <v/>
      </c>
      <c r="C687" s="11" t="str">
        <f>IF(A687="","",'Cálculos y conversiones'!$B$11*Tabla!E686)</f>
        <v/>
      </c>
      <c r="D687" s="11" t="str">
        <f t="shared" si="20"/>
        <v/>
      </c>
      <c r="E687" s="11" t="str">
        <f t="shared" si="21"/>
        <v/>
      </c>
    </row>
    <row r="688" spans="2:5" x14ac:dyDescent="0.25">
      <c r="B688" s="11" t="str">
        <f>IF(A688="","",'Cálculos y conversiones'!$B$14)</f>
        <v/>
      </c>
      <c r="C688" s="11" t="str">
        <f>IF(A688="","",'Cálculos y conversiones'!$B$11*Tabla!E687)</f>
        <v/>
      </c>
      <c r="D688" s="11" t="str">
        <f t="shared" si="20"/>
        <v/>
      </c>
      <c r="E688" s="11" t="str">
        <f t="shared" si="21"/>
        <v/>
      </c>
    </row>
    <row r="689" spans="2:5" x14ac:dyDescent="0.25">
      <c r="B689" s="11" t="str">
        <f>IF(A689="","",'Cálculos y conversiones'!$B$14)</f>
        <v/>
      </c>
      <c r="C689" s="11" t="str">
        <f>IF(A689="","",'Cálculos y conversiones'!$B$11*Tabla!E688)</f>
        <v/>
      </c>
      <c r="D689" s="11" t="str">
        <f t="shared" si="20"/>
        <v/>
      </c>
      <c r="E689" s="11" t="str">
        <f t="shared" si="21"/>
        <v/>
      </c>
    </row>
    <row r="690" spans="2:5" x14ac:dyDescent="0.25">
      <c r="B690" s="11" t="str">
        <f>IF(A690="","",'Cálculos y conversiones'!$B$14)</f>
        <v/>
      </c>
      <c r="C690" s="11" t="str">
        <f>IF(A690="","",'Cálculos y conversiones'!$B$11*Tabla!E689)</f>
        <v/>
      </c>
      <c r="D690" s="11" t="str">
        <f t="shared" si="20"/>
        <v/>
      </c>
      <c r="E690" s="11" t="str">
        <f t="shared" si="21"/>
        <v/>
      </c>
    </row>
    <row r="691" spans="2:5" x14ac:dyDescent="0.25">
      <c r="B691" s="11" t="str">
        <f>IF(A691="","",'Cálculos y conversiones'!$B$14)</f>
        <v/>
      </c>
      <c r="C691" s="11" t="str">
        <f>IF(A691="","",'Cálculos y conversiones'!$B$11*Tabla!E690)</f>
        <v/>
      </c>
      <c r="D691" s="11" t="str">
        <f t="shared" si="20"/>
        <v/>
      </c>
      <c r="E691" s="11" t="str">
        <f t="shared" si="21"/>
        <v/>
      </c>
    </row>
    <row r="692" spans="2:5" x14ac:dyDescent="0.25">
      <c r="B692" s="11" t="str">
        <f>IF(A692="","",'Cálculos y conversiones'!$B$14)</f>
        <v/>
      </c>
      <c r="C692" s="11" t="str">
        <f>IF(A692="","",'Cálculos y conversiones'!$B$11*Tabla!E691)</f>
        <v/>
      </c>
      <c r="D692" s="11" t="str">
        <f t="shared" si="20"/>
        <v/>
      </c>
      <c r="E692" s="11" t="str">
        <f t="shared" si="21"/>
        <v/>
      </c>
    </row>
    <row r="693" spans="2:5" x14ac:dyDescent="0.25">
      <c r="B693" s="11" t="str">
        <f>IF(A693="","",'Cálculos y conversiones'!$B$14)</f>
        <v/>
      </c>
      <c r="C693" s="11" t="str">
        <f>IF(A693="","",'Cálculos y conversiones'!$B$11*Tabla!E692)</f>
        <v/>
      </c>
      <c r="D693" s="11" t="str">
        <f t="shared" si="20"/>
        <v/>
      </c>
      <c r="E693" s="11" t="str">
        <f t="shared" si="21"/>
        <v/>
      </c>
    </row>
    <row r="694" spans="2:5" x14ac:dyDescent="0.25">
      <c r="B694" s="11" t="str">
        <f>IF(A694="","",'Cálculos y conversiones'!$B$14)</f>
        <v/>
      </c>
      <c r="C694" s="11" t="str">
        <f>IF(A694="","",'Cálculos y conversiones'!$B$11*Tabla!E693)</f>
        <v/>
      </c>
      <c r="D694" s="11" t="str">
        <f t="shared" si="20"/>
        <v/>
      </c>
      <c r="E694" s="11" t="str">
        <f t="shared" si="21"/>
        <v/>
      </c>
    </row>
    <row r="695" spans="2:5" x14ac:dyDescent="0.25">
      <c r="B695" s="11" t="str">
        <f>IF(A695="","",'Cálculos y conversiones'!$B$14)</f>
        <v/>
      </c>
      <c r="C695" s="11" t="str">
        <f>IF(A695="","",'Cálculos y conversiones'!$B$11*Tabla!E694)</f>
        <v/>
      </c>
      <c r="D695" s="11" t="str">
        <f t="shared" si="20"/>
        <v/>
      </c>
      <c r="E695" s="11" t="str">
        <f t="shared" si="21"/>
        <v/>
      </c>
    </row>
    <row r="696" spans="2:5" x14ac:dyDescent="0.25">
      <c r="B696" s="11" t="str">
        <f>IF(A696="","",'Cálculos y conversiones'!$B$14)</f>
        <v/>
      </c>
      <c r="C696" s="11" t="str">
        <f>IF(A696="","",'Cálculos y conversiones'!$B$11*Tabla!E695)</f>
        <v/>
      </c>
      <c r="D696" s="11" t="str">
        <f t="shared" si="20"/>
        <v/>
      </c>
      <c r="E696" s="11" t="str">
        <f t="shared" si="21"/>
        <v/>
      </c>
    </row>
    <row r="697" spans="2:5" x14ac:dyDescent="0.25">
      <c r="B697" s="11" t="str">
        <f>IF(A697="","",'Cálculos y conversiones'!$B$14)</f>
        <v/>
      </c>
      <c r="C697" s="11" t="str">
        <f>IF(A697="","",'Cálculos y conversiones'!$B$11*Tabla!E696)</f>
        <v/>
      </c>
      <c r="D697" s="11" t="str">
        <f t="shared" si="20"/>
        <v/>
      </c>
      <c r="E697" s="11" t="str">
        <f t="shared" si="21"/>
        <v/>
      </c>
    </row>
    <row r="698" spans="2:5" x14ac:dyDescent="0.25">
      <c r="B698" s="11" t="str">
        <f>IF(A698="","",'Cálculos y conversiones'!$B$14)</f>
        <v/>
      </c>
      <c r="C698" s="11" t="str">
        <f>IF(A698="","",'Cálculos y conversiones'!$B$11*Tabla!E697)</f>
        <v/>
      </c>
      <c r="D698" s="11" t="str">
        <f t="shared" si="20"/>
        <v/>
      </c>
      <c r="E698" s="11" t="str">
        <f t="shared" si="21"/>
        <v/>
      </c>
    </row>
    <row r="699" spans="2:5" x14ac:dyDescent="0.25">
      <c r="B699" s="11" t="str">
        <f>IF(A699="","",'Cálculos y conversiones'!$B$14)</f>
        <v/>
      </c>
      <c r="C699" s="11" t="str">
        <f>IF(A699="","",'Cálculos y conversiones'!$B$11*Tabla!E698)</f>
        <v/>
      </c>
      <c r="D699" s="11" t="str">
        <f t="shared" si="20"/>
        <v/>
      </c>
      <c r="E699" s="11" t="str">
        <f t="shared" si="21"/>
        <v/>
      </c>
    </row>
    <row r="700" spans="2:5" x14ac:dyDescent="0.25">
      <c r="B700" s="11" t="str">
        <f>IF(A700="","",'Cálculos y conversiones'!$B$14)</f>
        <v/>
      </c>
      <c r="C700" s="11" t="str">
        <f>IF(A700="","",'Cálculos y conversiones'!$B$11*Tabla!E699)</f>
        <v/>
      </c>
      <c r="D700" s="11" t="str">
        <f t="shared" si="20"/>
        <v/>
      </c>
      <c r="E700" s="11" t="str">
        <f t="shared" si="21"/>
        <v/>
      </c>
    </row>
    <row r="701" spans="2:5" x14ac:dyDescent="0.25">
      <c r="B701" s="11" t="str">
        <f>IF(A701="","",'Cálculos y conversiones'!$B$14)</f>
        <v/>
      </c>
      <c r="C701" s="11" t="str">
        <f>IF(A701="","",'Cálculos y conversiones'!$B$11*Tabla!E700)</f>
        <v/>
      </c>
      <c r="D701" s="11" t="str">
        <f t="shared" si="20"/>
        <v/>
      </c>
      <c r="E701" s="11" t="str">
        <f t="shared" si="21"/>
        <v/>
      </c>
    </row>
    <row r="702" spans="2:5" x14ac:dyDescent="0.25">
      <c r="B702" s="11" t="str">
        <f>IF(A702="","",'Cálculos y conversiones'!$B$14)</f>
        <v/>
      </c>
      <c r="C702" s="11" t="str">
        <f>IF(A702="","",'Cálculos y conversiones'!$B$11*Tabla!E701)</f>
        <v/>
      </c>
      <c r="D702" s="11" t="str">
        <f t="shared" si="20"/>
        <v/>
      </c>
      <c r="E702" s="11" t="str">
        <f t="shared" si="21"/>
        <v/>
      </c>
    </row>
    <row r="703" spans="2:5" x14ac:dyDescent="0.25">
      <c r="B703" s="11" t="str">
        <f>IF(A703="","",'Cálculos y conversiones'!$B$14)</f>
        <v/>
      </c>
      <c r="C703" s="11" t="str">
        <f>IF(A703="","",'Cálculos y conversiones'!$B$11*Tabla!E702)</f>
        <v/>
      </c>
      <c r="D703" s="11" t="str">
        <f t="shared" si="20"/>
        <v/>
      </c>
      <c r="E703" s="11" t="str">
        <f t="shared" si="21"/>
        <v/>
      </c>
    </row>
    <row r="704" spans="2:5" x14ac:dyDescent="0.25">
      <c r="B704" s="11" t="str">
        <f>IF(A704="","",'Cálculos y conversiones'!$B$14)</f>
        <v/>
      </c>
      <c r="C704" s="11" t="str">
        <f>IF(A704="","",'Cálculos y conversiones'!$B$11*Tabla!E703)</f>
        <v/>
      </c>
      <c r="D704" s="11" t="str">
        <f t="shared" si="20"/>
        <v/>
      </c>
      <c r="E704" s="11" t="str">
        <f t="shared" si="21"/>
        <v/>
      </c>
    </row>
    <row r="705" spans="2:5" x14ac:dyDescent="0.25">
      <c r="B705" s="11" t="str">
        <f>IF(A705="","",'Cálculos y conversiones'!$B$14)</f>
        <v/>
      </c>
      <c r="C705" s="11" t="str">
        <f>IF(A705="","",'Cálculos y conversiones'!$B$11*Tabla!E704)</f>
        <v/>
      </c>
      <c r="D705" s="11" t="str">
        <f t="shared" si="20"/>
        <v/>
      </c>
      <c r="E705" s="11" t="str">
        <f t="shared" si="21"/>
        <v/>
      </c>
    </row>
    <row r="706" spans="2:5" x14ac:dyDescent="0.25">
      <c r="B706" s="11" t="str">
        <f>IF(A706="","",'Cálculos y conversiones'!$B$14)</f>
        <v/>
      </c>
      <c r="C706" s="11" t="str">
        <f>IF(A706="","",'Cálculos y conversiones'!$B$11*Tabla!E705)</f>
        <v/>
      </c>
      <c r="D706" s="11" t="str">
        <f t="shared" si="20"/>
        <v/>
      </c>
      <c r="E706" s="11" t="str">
        <f t="shared" si="21"/>
        <v/>
      </c>
    </row>
    <row r="707" spans="2:5" x14ac:dyDescent="0.25">
      <c r="B707" s="11" t="str">
        <f>IF(A707="","",'Cálculos y conversiones'!$B$14)</f>
        <v/>
      </c>
      <c r="C707" s="11" t="str">
        <f>IF(A707="","",'Cálculos y conversiones'!$B$11*Tabla!E706)</f>
        <v/>
      </c>
      <c r="D707" s="11" t="str">
        <f t="shared" si="20"/>
        <v/>
      </c>
      <c r="E707" s="11" t="str">
        <f t="shared" si="21"/>
        <v/>
      </c>
    </row>
    <row r="708" spans="2:5" x14ac:dyDescent="0.25">
      <c r="B708" s="11" t="str">
        <f>IF(A708="","",'Cálculos y conversiones'!$B$14)</f>
        <v/>
      </c>
      <c r="C708" s="11" t="str">
        <f>IF(A708="","",'Cálculos y conversiones'!$B$11*Tabla!E707)</f>
        <v/>
      </c>
      <c r="D708" s="11" t="str">
        <f t="shared" si="20"/>
        <v/>
      </c>
      <c r="E708" s="11" t="str">
        <f t="shared" si="21"/>
        <v/>
      </c>
    </row>
    <row r="709" spans="2:5" x14ac:dyDescent="0.25">
      <c r="B709" s="11" t="str">
        <f>IF(A709="","",'Cálculos y conversiones'!$B$14)</f>
        <v/>
      </c>
      <c r="C709" s="11" t="str">
        <f>IF(A709="","",'Cálculos y conversiones'!$B$11*Tabla!E708)</f>
        <v/>
      </c>
      <c r="D709" s="11" t="str">
        <f t="shared" si="20"/>
        <v/>
      </c>
      <c r="E709" s="11" t="str">
        <f t="shared" si="21"/>
        <v/>
      </c>
    </row>
    <row r="710" spans="2:5" x14ac:dyDescent="0.25">
      <c r="B710" s="11" t="str">
        <f>IF(A710="","",'Cálculos y conversiones'!$B$14)</f>
        <v/>
      </c>
      <c r="C710" s="11" t="str">
        <f>IF(A710="","",'Cálculos y conversiones'!$B$11*Tabla!E709)</f>
        <v/>
      </c>
      <c r="D710" s="11" t="str">
        <f t="shared" si="20"/>
        <v/>
      </c>
      <c r="E710" s="11" t="str">
        <f t="shared" si="21"/>
        <v/>
      </c>
    </row>
    <row r="711" spans="2:5" x14ac:dyDescent="0.25">
      <c r="B711" s="11" t="str">
        <f>IF(A711="","",'Cálculos y conversiones'!$B$14)</f>
        <v/>
      </c>
      <c r="C711" s="11" t="str">
        <f>IF(A711="","",'Cálculos y conversiones'!$B$11*Tabla!E710)</f>
        <v/>
      </c>
      <c r="D711" s="11" t="str">
        <f t="shared" si="20"/>
        <v/>
      </c>
      <c r="E711" s="11" t="str">
        <f t="shared" si="21"/>
        <v/>
      </c>
    </row>
    <row r="712" spans="2:5" x14ac:dyDescent="0.25">
      <c r="B712" s="11" t="str">
        <f>IF(A712="","",'Cálculos y conversiones'!$B$14)</f>
        <v/>
      </c>
      <c r="C712" s="11" t="str">
        <f>IF(A712="","",'Cálculos y conversiones'!$B$11*Tabla!E711)</f>
        <v/>
      </c>
      <c r="D712" s="11" t="str">
        <f t="shared" si="20"/>
        <v/>
      </c>
      <c r="E712" s="11" t="str">
        <f t="shared" si="21"/>
        <v/>
      </c>
    </row>
    <row r="713" spans="2:5" x14ac:dyDescent="0.25">
      <c r="B713" s="11" t="str">
        <f>IF(A713="","",'Cálculos y conversiones'!$B$14)</f>
        <v/>
      </c>
      <c r="C713" s="11" t="str">
        <f>IF(A713="","",'Cálculos y conversiones'!$B$11*Tabla!E712)</f>
        <v/>
      </c>
      <c r="D713" s="11" t="str">
        <f t="shared" si="20"/>
        <v/>
      </c>
      <c r="E713" s="11" t="str">
        <f t="shared" si="21"/>
        <v/>
      </c>
    </row>
    <row r="714" spans="2:5" x14ac:dyDescent="0.25">
      <c r="B714" s="11" t="str">
        <f>IF(A714="","",'Cálculos y conversiones'!$B$14)</f>
        <v/>
      </c>
      <c r="C714" s="11" t="str">
        <f>IF(A714="","",'Cálculos y conversiones'!$B$11*Tabla!E713)</f>
        <v/>
      </c>
      <c r="D714" s="11" t="str">
        <f t="shared" ref="D714:D777" si="22">IF(A714="","",B714-C714)</f>
        <v/>
      </c>
      <c r="E714" s="11" t="str">
        <f t="shared" ref="E714:E777" si="23">IF(A714="","",E713-D714)</f>
        <v/>
      </c>
    </row>
    <row r="715" spans="2:5" x14ac:dyDescent="0.25">
      <c r="B715" s="11" t="str">
        <f>IF(A715="","",'Cálculos y conversiones'!$B$14)</f>
        <v/>
      </c>
      <c r="C715" s="11" t="str">
        <f>IF(A715="","",'Cálculos y conversiones'!$B$11*Tabla!E714)</f>
        <v/>
      </c>
      <c r="D715" s="11" t="str">
        <f t="shared" si="22"/>
        <v/>
      </c>
      <c r="E715" s="11" t="str">
        <f t="shared" si="23"/>
        <v/>
      </c>
    </row>
    <row r="716" spans="2:5" x14ac:dyDescent="0.25">
      <c r="B716" s="11" t="str">
        <f>IF(A716="","",'Cálculos y conversiones'!$B$14)</f>
        <v/>
      </c>
      <c r="C716" s="11" t="str">
        <f>IF(A716="","",'Cálculos y conversiones'!$B$11*Tabla!E715)</f>
        <v/>
      </c>
      <c r="D716" s="11" t="str">
        <f t="shared" si="22"/>
        <v/>
      </c>
      <c r="E716" s="11" t="str">
        <f t="shared" si="23"/>
        <v/>
      </c>
    </row>
    <row r="717" spans="2:5" x14ac:dyDescent="0.25">
      <c r="B717" s="11" t="str">
        <f>IF(A717="","",'Cálculos y conversiones'!$B$14)</f>
        <v/>
      </c>
      <c r="C717" s="11" t="str">
        <f>IF(A717="","",'Cálculos y conversiones'!$B$11*Tabla!E716)</f>
        <v/>
      </c>
      <c r="D717" s="11" t="str">
        <f t="shared" si="22"/>
        <v/>
      </c>
      <c r="E717" s="11" t="str">
        <f t="shared" si="23"/>
        <v/>
      </c>
    </row>
    <row r="718" spans="2:5" x14ac:dyDescent="0.25">
      <c r="B718" s="11" t="str">
        <f>IF(A718="","",'Cálculos y conversiones'!$B$14)</f>
        <v/>
      </c>
      <c r="C718" s="11" t="str">
        <f>IF(A718="","",'Cálculos y conversiones'!$B$11*Tabla!E717)</f>
        <v/>
      </c>
      <c r="D718" s="11" t="str">
        <f t="shared" si="22"/>
        <v/>
      </c>
      <c r="E718" s="11" t="str">
        <f t="shared" si="23"/>
        <v/>
      </c>
    </row>
    <row r="719" spans="2:5" x14ac:dyDescent="0.25">
      <c r="B719" s="11" t="str">
        <f>IF(A719="","",'Cálculos y conversiones'!$B$14)</f>
        <v/>
      </c>
      <c r="C719" s="11" t="str">
        <f>IF(A719="","",'Cálculos y conversiones'!$B$11*Tabla!E718)</f>
        <v/>
      </c>
      <c r="D719" s="11" t="str">
        <f t="shared" si="22"/>
        <v/>
      </c>
      <c r="E719" s="11" t="str">
        <f t="shared" si="23"/>
        <v/>
      </c>
    </row>
    <row r="720" spans="2:5" x14ac:dyDescent="0.25">
      <c r="B720" s="11" t="str">
        <f>IF(A720="","",'Cálculos y conversiones'!$B$14)</f>
        <v/>
      </c>
      <c r="C720" s="11" t="str">
        <f>IF(A720="","",'Cálculos y conversiones'!$B$11*Tabla!E719)</f>
        <v/>
      </c>
      <c r="D720" s="11" t="str">
        <f t="shared" si="22"/>
        <v/>
      </c>
      <c r="E720" s="11" t="str">
        <f t="shared" si="23"/>
        <v/>
      </c>
    </row>
    <row r="721" spans="2:5" x14ac:dyDescent="0.25">
      <c r="B721" s="11" t="str">
        <f>IF(A721="","",'Cálculos y conversiones'!$B$14)</f>
        <v/>
      </c>
      <c r="C721" s="11" t="str">
        <f>IF(A721="","",'Cálculos y conversiones'!$B$11*Tabla!E720)</f>
        <v/>
      </c>
      <c r="D721" s="11" t="str">
        <f t="shared" si="22"/>
        <v/>
      </c>
      <c r="E721" s="11" t="str">
        <f t="shared" si="23"/>
        <v/>
      </c>
    </row>
    <row r="722" spans="2:5" x14ac:dyDescent="0.25">
      <c r="B722" s="11" t="str">
        <f>IF(A722="","",'Cálculos y conversiones'!$B$14)</f>
        <v/>
      </c>
      <c r="C722" s="11" t="str">
        <f>IF(A722="","",'Cálculos y conversiones'!$B$11*Tabla!E721)</f>
        <v/>
      </c>
      <c r="D722" s="11" t="str">
        <f t="shared" si="22"/>
        <v/>
      </c>
      <c r="E722" s="11" t="str">
        <f t="shared" si="23"/>
        <v/>
      </c>
    </row>
    <row r="723" spans="2:5" x14ac:dyDescent="0.25">
      <c r="B723" s="11" t="str">
        <f>IF(A723="","",'Cálculos y conversiones'!$B$14)</f>
        <v/>
      </c>
      <c r="C723" s="11" t="str">
        <f>IF(A723="","",'Cálculos y conversiones'!$B$11*Tabla!E722)</f>
        <v/>
      </c>
      <c r="D723" s="11" t="str">
        <f t="shared" si="22"/>
        <v/>
      </c>
      <c r="E723" s="11" t="str">
        <f t="shared" si="23"/>
        <v/>
      </c>
    </row>
    <row r="724" spans="2:5" x14ac:dyDescent="0.25">
      <c r="B724" s="11" t="str">
        <f>IF(A724="","",'Cálculos y conversiones'!$B$14)</f>
        <v/>
      </c>
      <c r="C724" s="11" t="str">
        <f>IF(A724="","",'Cálculos y conversiones'!$B$11*Tabla!E723)</f>
        <v/>
      </c>
      <c r="D724" s="11" t="str">
        <f t="shared" si="22"/>
        <v/>
      </c>
      <c r="E724" s="11" t="str">
        <f t="shared" si="23"/>
        <v/>
      </c>
    </row>
    <row r="725" spans="2:5" x14ac:dyDescent="0.25">
      <c r="B725" s="11" t="str">
        <f>IF(A725="","",'Cálculos y conversiones'!$B$14)</f>
        <v/>
      </c>
      <c r="C725" s="11" t="str">
        <f>IF(A725="","",'Cálculos y conversiones'!$B$11*Tabla!E724)</f>
        <v/>
      </c>
      <c r="D725" s="11" t="str">
        <f t="shared" si="22"/>
        <v/>
      </c>
      <c r="E725" s="11" t="str">
        <f t="shared" si="23"/>
        <v/>
      </c>
    </row>
    <row r="726" spans="2:5" x14ac:dyDescent="0.25">
      <c r="B726" s="11" t="str">
        <f>IF(A726="","",'Cálculos y conversiones'!$B$14)</f>
        <v/>
      </c>
      <c r="C726" s="11" t="str">
        <f>IF(A726="","",'Cálculos y conversiones'!$B$11*Tabla!E725)</f>
        <v/>
      </c>
      <c r="D726" s="11" t="str">
        <f t="shared" si="22"/>
        <v/>
      </c>
      <c r="E726" s="11" t="str">
        <f t="shared" si="23"/>
        <v/>
      </c>
    </row>
    <row r="727" spans="2:5" x14ac:dyDescent="0.25">
      <c r="B727" s="11" t="str">
        <f>IF(A727="","",'Cálculos y conversiones'!$B$14)</f>
        <v/>
      </c>
      <c r="C727" s="11" t="str">
        <f>IF(A727="","",'Cálculos y conversiones'!$B$11*Tabla!E726)</f>
        <v/>
      </c>
      <c r="D727" s="11" t="str">
        <f t="shared" si="22"/>
        <v/>
      </c>
      <c r="E727" s="11" t="str">
        <f t="shared" si="23"/>
        <v/>
      </c>
    </row>
    <row r="728" spans="2:5" x14ac:dyDescent="0.25">
      <c r="B728" s="11" t="str">
        <f>IF(A728="","",'Cálculos y conversiones'!$B$14)</f>
        <v/>
      </c>
      <c r="C728" s="11" t="str">
        <f>IF(A728="","",'Cálculos y conversiones'!$B$11*Tabla!E727)</f>
        <v/>
      </c>
      <c r="D728" s="11" t="str">
        <f t="shared" si="22"/>
        <v/>
      </c>
      <c r="E728" s="11" t="str">
        <f t="shared" si="23"/>
        <v/>
      </c>
    </row>
    <row r="729" spans="2:5" x14ac:dyDescent="0.25">
      <c r="B729" s="11" t="str">
        <f>IF(A729="","",'Cálculos y conversiones'!$B$14)</f>
        <v/>
      </c>
      <c r="C729" s="11" t="str">
        <f>IF(A729="","",'Cálculos y conversiones'!$B$11*Tabla!E728)</f>
        <v/>
      </c>
      <c r="D729" s="11" t="str">
        <f t="shared" si="22"/>
        <v/>
      </c>
      <c r="E729" s="11" t="str">
        <f t="shared" si="23"/>
        <v/>
      </c>
    </row>
    <row r="730" spans="2:5" x14ac:dyDescent="0.25">
      <c r="B730" s="11" t="str">
        <f>IF(A730="","",'Cálculos y conversiones'!$B$14)</f>
        <v/>
      </c>
      <c r="C730" s="11" t="str">
        <f>IF(A730="","",'Cálculos y conversiones'!$B$11*Tabla!E729)</f>
        <v/>
      </c>
      <c r="D730" s="11" t="str">
        <f t="shared" si="22"/>
        <v/>
      </c>
      <c r="E730" s="11" t="str">
        <f t="shared" si="23"/>
        <v/>
      </c>
    </row>
    <row r="731" spans="2:5" x14ac:dyDescent="0.25">
      <c r="B731" s="11" t="str">
        <f>IF(A731="","",'Cálculos y conversiones'!$B$14)</f>
        <v/>
      </c>
      <c r="C731" s="11" t="str">
        <f>IF(A731="","",'Cálculos y conversiones'!$B$11*Tabla!E730)</f>
        <v/>
      </c>
      <c r="D731" s="11" t="str">
        <f t="shared" si="22"/>
        <v/>
      </c>
      <c r="E731" s="11" t="str">
        <f t="shared" si="23"/>
        <v/>
      </c>
    </row>
    <row r="732" spans="2:5" x14ac:dyDescent="0.25">
      <c r="B732" s="11" t="str">
        <f>IF(A732="","",'Cálculos y conversiones'!$B$14)</f>
        <v/>
      </c>
      <c r="C732" s="11" t="str">
        <f>IF(A732="","",'Cálculos y conversiones'!$B$11*Tabla!E731)</f>
        <v/>
      </c>
      <c r="D732" s="11" t="str">
        <f t="shared" si="22"/>
        <v/>
      </c>
      <c r="E732" s="11" t="str">
        <f t="shared" si="23"/>
        <v/>
      </c>
    </row>
    <row r="733" spans="2:5" x14ac:dyDescent="0.25">
      <c r="B733" s="11" t="str">
        <f>IF(A733="","",'Cálculos y conversiones'!$B$14)</f>
        <v/>
      </c>
      <c r="C733" s="11" t="str">
        <f>IF(A733="","",'Cálculos y conversiones'!$B$11*Tabla!E732)</f>
        <v/>
      </c>
      <c r="D733" s="11" t="str">
        <f t="shared" si="22"/>
        <v/>
      </c>
      <c r="E733" s="11" t="str">
        <f t="shared" si="23"/>
        <v/>
      </c>
    </row>
    <row r="734" spans="2:5" x14ac:dyDescent="0.25">
      <c r="B734" s="11" t="str">
        <f>IF(A734="","",'Cálculos y conversiones'!$B$14)</f>
        <v/>
      </c>
      <c r="C734" s="11" t="str">
        <f>IF(A734="","",'Cálculos y conversiones'!$B$11*Tabla!E733)</f>
        <v/>
      </c>
      <c r="D734" s="11" t="str">
        <f t="shared" si="22"/>
        <v/>
      </c>
      <c r="E734" s="11" t="str">
        <f t="shared" si="23"/>
        <v/>
      </c>
    </row>
    <row r="735" spans="2:5" x14ac:dyDescent="0.25">
      <c r="B735" s="11" t="str">
        <f>IF(A735="","",'Cálculos y conversiones'!$B$14)</f>
        <v/>
      </c>
      <c r="C735" s="11" t="str">
        <f>IF(A735="","",'Cálculos y conversiones'!$B$11*Tabla!E734)</f>
        <v/>
      </c>
      <c r="D735" s="11" t="str">
        <f t="shared" si="22"/>
        <v/>
      </c>
      <c r="E735" s="11" t="str">
        <f t="shared" si="23"/>
        <v/>
      </c>
    </row>
    <row r="736" spans="2:5" x14ac:dyDescent="0.25">
      <c r="B736" s="11" t="str">
        <f>IF(A736="","",'Cálculos y conversiones'!$B$14)</f>
        <v/>
      </c>
      <c r="C736" s="11" t="str">
        <f>IF(A736="","",'Cálculos y conversiones'!$B$11*Tabla!E735)</f>
        <v/>
      </c>
      <c r="D736" s="11" t="str">
        <f t="shared" si="22"/>
        <v/>
      </c>
      <c r="E736" s="11" t="str">
        <f t="shared" si="23"/>
        <v/>
      </c>
    </row>
    <row r="737" spans="2:5" x14ac:dyDescent="0.25">
      <c r="B737" s="11" t="str">
        <f>IF(A737="","",'Cálculos y conversiones'!$B$14)</f>
        <v/>
      </c>
      <c r="C737" s="11" t="str">
        <f>IF(A737="","",'Cálculos y conversiones'!$B$11*Tabla!E736)</f>
        <v/>
      </c>
      <c r="D737" s="11" t="str">
        <f t="shared" si="22"/>
        <v/>
      </c>
      <c r="E737" s="11" t="str">
        <f t="shared" si="23"/>
        <v/>
      </c>
    </row>
    <row r="738" spans="2:5" x14ac:dyDescent="0.25">
      <c r="B738" s="11" t="str">
        <f>IF(A738="","",'Cálculos y conversiones'!$B$14)</f>
        <v/>
      </c>
      <c r="C738" s="11" t="str">
        <f>IF(A738="","",'Cálculos y conversiones'!$B$11*Tabla!E737)</f>
        <v/>
      </c>
      <c r="D738" s="11" t="str">
        <f t="shared" si="22"/>
        <v/>
      </c>
      <c r="E738" s="11" t="str">
        <f t="shared" si="23"/>
        <v/>
      </c>
    </row>
    <row r="739" spans="2:5" x14ac:dyDescent="0.25">
      <c r="B739" s="11" t="str">
        <f>IF(A739="","",'Cálculos y conversiones'!$B$14)</f>
        <v/>
      </c>
      <c r="C739" s="11" t="str">
        <f>IF(A739="","",'Cálculos y conversiones'!$B$11*Tabla!E738)</f>
        <v/>
      </c>
      <c r="D739" s="11" t="str">
        <f t="shared" si="22"/>
        <v/>
      </c>
      <c r="E739" s="11" t="str">
        <f t="shared" si="23"/>
        <v/>
      </c>
    </row>
    <row r="740" spans="2:5" x14ac:dyDescent="0.25">
      <c r="B740" s="11" t="str">
        <f>IF(A740="","",'Cálculos y conversiones'!$B$14)</f>
        <v/>
      </c>
      <c r="C740" s="11" t="str">
        <f>IF(A740="","",'Cálculos y conversiones'!$B$11*Tabla!E739)</f>
        <v/>
      </c>
      <c r="D740" s="11" t="str">
        <f t="shared" si="22"/>
        <v/>
      </c>
      <c r="E740" s="11" t="str">
        <f t="shared" si="23"/>
        <v/>
      </c>
    </row>
    <row r="741" spans="2:5" x14ac:dyDescent="0.25">
      <c r="B741" s="11" t="str">
        <f>IF(A741="","",'Cálculos y conversiones'!$B$14)</f>
        <v/>
      </c>
      <c r="C741" s="11" t="str">
        <f>IF(A741="","",'Cálculos y conversiones'!$B$11*Tabla!E740)</f>
        <v/>
      </c>
      <c r="D741" s="11" t="str">
        <f t="shared" si="22"/>
        <v/>
      </c>
      <c r="E741" s="11" t="str">
        <f t="shared" si="23"/>
        <v/>
      </c>
    </row>
    <row r="742" spans="2:5" x14ac:dyDescent="0.25">
      <c r="B742" s="11" t="str">
        <f>IF(A742="","",'Cálculos y conversiones'!$B$14)</f>
        <v/>
      </c>
      <c r="C742" s="11" t="str">
        <f>IF(A742="","",'Cálculos y conversiones'!$B$11*Tabla!E741)</f>
        <v/>
      </c>
      <c r="D742" s="11" t="str">
        <f t="shared" si="22"/>
        <v/>
      </c>
      <c r="E742" s="11" t="str">
        <f t="shared" si="23"/>
        <v/>
      </c>
    </row>
    <row r="743" spans="2:5" x14ac:dyDescent="0.25">
      <c r="B743" s="11" t="str">
        <f>IF(A743="","",'Cálculos y conversiones'!$B$14)</f>
        <v/>
      </c>
      <c r="C743" s="11" t="str">
        <f>IF(A743="","",'Cálculos y conversiones'!$B$11*Tabla!E742)</f>
        <v/>
      </c>
      <c r="D743" s="11" t="str">
        <f t="shared" si="22"/>
        <v/>
      </c>
      <c r="E743" s="11" t="str">
        <f t="shared" si="23"/>
        <v/>
      </c>
    </row>
    <row r="744" spans="2:5" x14ac:dyDescent="0.25">
      <c r="B744" s="11" t="str">
        <f>IF(A744="","",'Cálculos y conversiones'!$B$14)</f>
        <v/>
      </c>
      <c r="C744" s="11" t="str">
        <f>IF(A744="","",'Cálculos y conversiones'!$B$11*Tabla!E743)</f>
        <v/>
      </c>
      <c r="D744" s="11" t="str">
        <f t="shared" si="22"/>
        <v/>
      </c>
      <c r="E744" s="11" t="str">
        <f t="shared" si="23"/>
        <v/>
      </c>
    </row>
    <row r="745" spans="2:5" x14ac:dyDescent="0.25">
      <c r="B745" s="11" t="str">
        <f>IF(A745="","",'Cálculos y conversiones'!$B$14)</f>
        <v/>
      </c>
      <c r="C745" s="11" t="str">
        <f>IF(A745="","",'Cálculos y conversiones'!$B$11*Tabla!E744)</f>
        <v/>
      </c>
      <c r="D745" s="11" t="str">
        <f t="shared" si="22"/>
        <v/>
      </c>
      <c r="E745" s="11" t="str">
        <f t="shared" si="23"/>
        <v/>
      </c>
    </row>
    <row r="746" spans="2:5" x14ac:dyDescent="0.25">
      <c r="B746" s="11" t="str">
        <f>IF(A746="","",'Cálculos y conversiones'!$B$14)</f>
        <v/>
      </c>
      <c r="C746" s="11" t="str">
        <f>IF(A746="","",'Cálculos y conversiones'!$B$11*Tabla!E745)</f>
        <v/>
      </c>
      <c r="D746" s="11" t="str">
        <f t="shared" si="22"/>
        <v/>
      </c>
      <c r="E746" s="11" t="str">
        <f t="shared" si="23"/>
        <v/>
      </c>
    </row>
    <row r="747" spans="2:5" x14ac:dyDescent="0.25">
      <c r="B747" s="11" t="str">
        <f>IF(A747="","",'Cálculos y conversiones'!$B$14)</f>
        <v/>
      </c>
      <c r="C747" s="11" t="str">
        <f>IF(A747="","",'Cálculos y conversiones'!$B$11*Tabla!E746)</f>
        <v/>
      </c>
      <c r="D747" s="11" t="str">
        <f t="shared" si="22"/>
        <v/>
      </c>
      <c r="E747" s="11" t="str">
        <f t="shared" si="23"/>
        <v/>
      </c>
    </row>
    <row r="748" spans="2:5" x14ac:dyDescent="0.25">
      <c r="B748" s="11" t="str">
        <f>IF(A748="","",'Cálculos y conversiones'!$B$14)</f>
        <v/>
      </c>
      <c r="C748" s="11" t="str">
        <f>IF(A748="","",'Cálculos y conversiones'!$B$11*Tabla!E747)</f>
        <v/>
      </c>
      <c r="D748" s="11" t="str">
        <f t="shared" si="22"/>
        <v/>
      </c>
      <c r="E748" s="11" t="str">
        <f t="shared" si="23"/>
        <v/>
      </c>
    </row>
    <row r="749" spans="2:5" x14ac:dyDescent="0.25">
      <c r="B749" s="11" t="str">
        <f>IF(A749="","",'Cálculos y conversiones'!$B$14)</f>
        <v/>
      </c>
      <c r="C749" s="11" t="str">
        <f>IF(A749="","",'Cálculos y conversiones'!$B$11*Tabla!E748)</f>
        <v/>
      </c>
      <c r="D749" s="11" t="str">
        <f t="shared" si="22"/>
        <v/>
      </c>
      <c r="E749" s="11" t="str">
        <f t="shared" si="23"/>
        <v/>
      </c>
    </row>
    <row r="750" spans="2:5" x14ac:dyDescent="0.25">
      <c r="B750" s="11" t="str">
        <f>IF(A750="","",'Cálculos y conversiones'!$B$14)</f>
        <v/>
      </c>
      <c r="C750" s="11" t="str">
        <f>IF(A750="","",'Cálculos y conversiones'!$B$11*Tabla!E749)</f>
        <v/>
      </c>
      <c r="D750" s="11" t="str">
        <f t="shared" si="22"/>
        <v/>
      </c>
      <c r="E750" s="11" t="str">
        <f t="shared" si="23"/>
        <v/>
      </c>
    </row>
    <row r="751" spans="2:5" x14ac:dyDescent="0.25">
      <c r="B751" s="11" t="str">
        <f>IF(A751="","",'Cálculos y conversiones'!$B$14)</f>
        <v/>
      </c>
      <c r="C751" s="11" t="str">
        <f>IF(A751="","",'Cálculos y conversiones'!$B$11*Tabla!E750)</f>
        <v/>
      </c>
      <c r="D751" s="11" t="str">
        <f t="shared" si="22"/>
        <v/>
      </c>
      <c r="E751" s="11" t="str">
        <f t="shared" si="23"/>
        <v/>
      </c>
    </row>
    <row r="752" spans="2:5" x14ac:dyDescent="0.25">
      <c r="B752" s="11" t="str">
        <f>IF(A752="","",'Cálculos y conversiones'!$B$14)</f>
        <v/>
      </c>
      <c r="C752" s="11" t="str">
        <f>IF(A752="","",'Cálculos y conversiones'!$B$11*Tabla!E751)</f>
        <v/>
      </c>
      <c r="D752" s="11" t="str">
        <f t="shared" si="22"/>
        <v/>
      </c>
      <c r="E752" s="11" t="str">
        <f t="shared" si="23"/>
        <v/>
      </c>
    </row>
    <row r="753" spans="2:5" x14ac:dyDescent="0.25">
      <c r="B753" s="11" t="str">
        <f>IF(A753="","",'Cálculos y conversiones'!$B$14)</f>
        <v/>
      </c>
      <c r="C753" s="11" t="str">
        <f>IF(A753="","",'Cálculos y conversiones'!$B$11*Tabla!E752)</f>
        <v/>
      </c>
      <c r="D753" s="11" t="str">
        <f t="shared" si="22"/>
        <v/>
      </c>
      <c r="E753" s="11" t="str">
        <f t="shared" si="23"/>
        <v/>
      </c>
    </row>
    <row r="754" spans="2:5" x14ac:dyDescent="0.25">
      <c r="B754" s="11" t="str">
        <f>IF(A754="","",'Cálculos y conversiones'!$B$14)</f>
        <v/>
      </c>
      <c r="C754" s="11" t="str">
        <f>IF(A754="","",'Cálculos y conversiones'!$B$11*Tabla!E753)</f>
        <v/>
      </c>
      <c r="D754" s="11" t="str">
        <f t="shared" si="22"/>
        <v/>
      </c>
      <c r="E754" s="11" t="str">
        <f t="shared" si="23"/>
        <v/>
      </c>
    </row>
    <row r="755" spans="2:5" x14ac:dyDescent="0.25">
      <c r="B755" s="11" t="str">
        <f>IF(A755="","",'Cálculos y conversiones'!$B$14)</f>
        <v/>
      </c>
      <c r="C755" s="11" t="str">
        <f>IF(A755="","",'Cálculos y conversiones'!$B$11*Tabla!E754)</f>
        <v/>
      </c>
      <c r="D755" s="11" t="str">
        <f t="shared" si="22"/>
        <v/>
      </c>
      <c r="E755" s="11" t="str">
        <f t="shared" si="23"/>
        <v/>
      </c>
    </row>
    <row r="756" spans="2:5" x14ac:dyDescent="0.25">
      <c r="B756" s="11" t="str">
        <f>IF(A756="","",'Cálculos y conversiones'!$B$14)</f>
        <v/>
      </c>
      <c r="C756" s="11" t="str">
        <f>IF(A756="","",'Cálculos y conversiones'!$B$11*Tabla!E755)</f>
        <v/>
      </c>
      <c r="D756" s="11" t="str">
        <f t="shared" si="22"/>
        <v/>
      </c>
      <c r="E756" s="11" t="str">
        <f t="shared" si="23"/>
        <v/>
      </c>
    </row>
    <row r="757" spans="2:5" x14ac:dyDescent="0.25">
      <c r="B757" s="11" t="str">
        <f>IF(A757="","",'Cálculos y conversiones'!$B$14)</f>
        <v/>
      </c>
      <c r="C757" s="11" t="str">
        <f>IF(A757="","",'Cálculos y conversiones'!$B$11*Tabla!E756)</f>
        <v/>
      </c>
      <c r="D757" s="11" t="str">
        <f t="shared" si="22"/>
        <v/>
      </c>
      <c r="E757" s="11" t="str">
        <f t="shared" si="23"/>
        <v/>
      </c>
    </row>
    <row r="758" spans="2:5" x14ac:dyDescent="0.25">
      <c r="B758" s="11" t="str">
        <f>IF(A758="","",'Cálculos y conversiones'!$B$14)</f>
        <v/>
      </c>
      <c r="C758" s="11" t="str">
        <f>IF(A758="","",'Cálculos y conversiones'!$B$11*Tabla!E757)</f>
        <v/>
      </c>
      <c r="D758" s="11" t="str">
        <f t="shared" si="22"/>
        <v/>
      </c>
      <c r="E758" s="11" t="str">
        <f t="shared" si="23"/>
        <v/>
      </c>
    </row>
    <row r="759" spans="2:5" x14ac:dyDescent="0.25">
      <c r="B759" s="11" t="str">
        <f>IF(A759="","",'Cálculos y conversiones'!$B$14)</f>
        <v/>
      </c>
      <c r="C759" s="11" t="str">
        <f>IF(A759="","",'Cálculos y conversiones'!$B$11*Tabla!E758)</f>
        <v/>
      </c>
      <c r="D759" s="11" t="str">
        <f t="shared" si="22"/>
        <v/>
      </c>
      <c r="E759" s="11" t="str">
        <f t="shared" si="23"/>
        <v/>
      </c>
    </row>
    <row r="760" spans="2:5" x14ac:dyDescent="0.25">
      <c r="B760" s="11" t="str">
        <f>IF(A760="","",'Cálculos y conversiones'!$B$14)</f>
        <v/>
      </c>
      <c r="C760" s="11" t="str">
        <f>IF(A760="","",'Cálculos y conversiones'!$B$11*Tabla!E759)</f>
        <v/>
      </c>
      <c r="D760" s="11" t="str">
        <f t="shared" si="22"/>
        <v/>
      </c>
      <c r="E760" s="11" t="str">
        <f t="shared" si="23"/>
        <v/>
      </c>
    </row>
    <row r="761" spans="2:5" x14ac:dyDescent="0.25">
      <c r="B761" s="11" t="str">
        <f>IF(A761="","",'Cálculos y conversiones'!$B$14)</f>
        <v/>
      </c>
      <c r="C761" s="11" t="str">
        <f>IF(A761="","",'Cálculos y conversiones'!$B$11*Tabla!E760)</f>
        <v/>
      </c>
      <c r="D761" s="11" t="str">
        <f t="shared" si="22"/>
        <v/>
      </c>
      <c r="E761" s="11" t="str">
        <f t="shared" si="23"/>
        <v/>
      </c>
    </row>
    <row r="762" spans="2:5" x14ac:dyDescent="0.25">
      <c r="B762" s="11" t="str">
        <f>IF(A762="","",'Cálculos y conversiones'!$B$14)</f>
        <v/>
      </c>
      <c r="C762" s="11" t="str">
        <f>IF(A762="","",'Cálculos y conversiones'!$B$11*Tabla!E761)</f>
        <v/>
      </c>
      <c r="D762" s="11" t="str">
        <f t="shared" si="22"/>
        <v/>
      </c>
      <c r="E762" s="11" t="str">
        <f t="shared" si="23"/>
        <v/>
      </c>
    </row>
    <row r="763" spans="2:5" x14ac:dyDescent="0.25">
      <c r="B763" s="11" t="str">
        <f>IF(A763="","",'Cálculos y conversiones'!$B$14)</f>
        <v/>
      </c>
      <c r="C763" s="11" t="str">
        <f>IF(A763="","",'Cálculos y conversiones'!$B$11*Tabla!E762)</f>
        <v/>
      </c>
      <c r="D763" s="11" t="str">
        <f t="shared" si="22"/>
        <v/>
      </c>
      <c r="E763" s="11" t="str">
        <f t="shared" si="23"/>
        <v/>
      </c>
    </row>
    <row r="764" spans="2:5" x14ac:dyDescent="0.25">
      <c r="B764" s="11" t="str">
        <f>IF(A764="","",'Cálculos y conversiones'!$B$14)</f>
        <v/>
      </c>
      <c r="C764" s="11" t="str">
        <f>IF(A764="","",'Cálculos y conversiones'!$B$11*Tabla!E763)</f>
        <v/>
      </c>
      <c r="D764" s="11" t="str">
        <f t="shared" si="22"/>
        <v/>
      </c>
      <c r="E764" s="11" t="str">
        <f t="shared" si="23"/>
        <v/>
      </c>
    </row>
    <row r="765" spans="2:5" x14ac:dyDescent="0.25">
      <c r="B765" s="11" t="str">
        <f>IF(A765="","",'Cálculos y conversiones'!$B$14)</f>
        <v/>
      </c>
      <c r="C765" s="11" t="str">
        <f>IF(A765="","",'Cálculos y conversiones'!$B$11*Tabla!E764)</f>
        <v/>
      </c>
      <c r="D765" s="11" t="str">
        <f t="shared" si="22"/>
        <v/>
      </c>
      <c r="E765" s="11" t="str">
        <f t="shared" si="23"/>
        <v/>
      </c>
    </row>
    <row r="766" spans="2:5" x14ac:dyDescent="0.25">
      <c r="B766" s="11" t="str">
        <f>IF(A766="","",'Cálculos y conversiones'!$B$14)</f>
        <v/>
      </c>
      <c r="C766" s="11" t="str">
        <f>IF(A766="","",'Cálculos y conversiones'!$B$11*Tabla!E765)</f>
        <v/>
      </c>
      <c r="D766" s="11" t="str">
        <f t="shared" si="22"/>
        <v/>
      </c>
      <c r="E766" s="11" t="str">
        <f t="shared" si="23"/>
        <v/>
      </c>
    </row>
    <row r="767" spans="2:5" x14ac:dyDescent="0.25">
      <c r="B767" s="11" t="str">
        <f>IF(A767="","",'Cálculos y conversiones'!$B$14)</f>
        <v/>
      </c>
      <c r="C767" s="11" t="str">
        <f>IF(A767="","",'Cálculos y conversiones'!$B$11*Tabla!E766)</f>
        <v/>
      </c>
      <c r="D767" s="11" t="str">
        <f t="shared" si="22"/>
        <v/>
      </c>
      <c r="E767" s="11" t="str">
        <f t="shared" si="23"/>
        <v/>
      </c>
    </row>
    <row r="768" spans="2:5" x14ac:dyDescent="0.25">
      <c r="B768" s="11" t="str">
        <f>IF(A768="","",'Cálculos y conversiones'!$B$14)</f>
        <v/>
      </c>
      <c r="C768" s="11" t="str">
        <f>IF(A768="","",'Cálculos y conversiones'!$B$11*Tabla!E767)</f>
        <v/>
      </c>
      <c r="D768" s="11" t="str">
        <f t="shared" si="22"/>
        <v/>
      </c>
      <c r="E768" s="11" t="str">
        <f t="shared" si="23"/>
        <v/>
      </c>
    </row>
    <row r="769" spans="2:5" x14ac:dyDescent="0.25">
      <c r="B769" s="11" t="str">
        <f>IF(A769="","",'Cálculos y conversiones'!$B$14)</f>
        <v/>
      </c>
      <c r="C769" s="11" t="str">
        <f>IF(A769="","",'Cálculos y conversiones'!$B$11*Tabla!E768)</f>
        <v/>
      </c>
      <c r="D769" s="11" t="str">
        <f t="shared" si="22"/>
        <v/>
      </c>
      <c r="E769" s="11" t="str">
        <f t="shared" si="23"/>
        <v/>
      </c>
    </row>
    <row r="770" spans="2:5" x14ac:dyDescent="0.25">
      <c r="B770" s="11" t="str">
        <f>IF(A770="","",'Cálculos y conversiones'!$B$14)</f>
        <v/>
      </c>
      <c r="C770" s="11" t="str">
        <f>IF(A770="","",'Cálculos y conversiones'!$B$11*Tabla!E769)</f>
        <v/>
      </c>
      <c r="D770" s="11" t="str">
        <f t="shared" si="22"/>
        <v/>
      </c>
      <c r="E770" s="11" t="str">
        <f t="shared" si="23"/>
        <v/>
      </c>
    </row>
    <row r="771" spans="2:5" x14ac:dyDescent="0.25">
      <c r="B771" s="11" t="str">
        <f>IF(A771="","",'Cálculos y conversiones'!$B$14)</f>
        <v/>
      </c>
      <c r="C771" s="11" t="str">
        <f>IF(A771="","",'Cálculos y conversiones'!$B$11*Tabla!E770)</f>
        <v/>
      </c>
      <c r="D771" s="11" t="str">
        <f t="shared" si="22"/>
        <v/>
      </c>
      <c r="E771" s="11" t="str">
        <f t="shared" si="23"/>
        <v/>
      </c>
    </row>
    <row r="772" spans="2:5" x14ac:dyDescent="0.25">
      <c r="B772" s="11" t="str">
        <f>IF(A772="","",'Cálculos y conversiones'!$B$14)</f>
        <v/>
      </c>
      <c r="C772" s="11" t="str">
        <f>IF(A772="","",'Cálculos y conversiones'!$B$11*Tabla!E771)</f>
        <v/>
      </c>
      <c r="D772" s="11" t="str">
        <f t="shared" si="22"/>
        <v/>
      </c>
      <c r="E772" s="11" t="str">
        <f t="shared" si="23"/>
        <v/>
      </c>
    </row>
    <row r="773" spans="2:5" x14ac:dyDescent="0.25">
      <c r="B773" s="11" t="str">
        <f>IF(A773="","",'Cálculos y conversiones'!$B$14)</f>
        <v/>
      </c>
      <c r="C773" s="11" t="str">
        <f>IF(A773="","",'Cálculos y conversiones'!$B$11*Tabla!E772)</f>
        <v/>
      </c>
      <c r="D773" s="11" t="str">
        <f t="shared" si="22"/>
        <v/>
      </c>
      <c r="E773" s="11" t="str">
        <f t="shared" si="23"/>
        <v/>
      </c>
    </row>
    <row r="774" spans="2:5" x14ac:dyDescent="0.25">
      <c r="B774" s="11" t="str">
        <f>IF(A774="","",'Cálculos y conversiones'!$B$14)</f>
        <v/>
      </c>
      <c r="C774" s="11" t="str">
        <f>IF(A774="","",'Cálculos y conversiones'!$B$11*Tabla!E773)</f>
        <v/>
      </c>
      <c r="D774" s="11" t="str">
        <f t="shared" si="22"/>
        <v/>
      </c>
      <c r="E774" s="11" t="str">
        <f t="shared" si="23"/>
        <v/>
      </c>
    </row>
    <row r="775" spans="2:5" x14ac:dyDescent="0.25">
      <c r="B775" s="11" t="str">
        <f>IF(A775="","",'Cálculos y conversiones'!$B$14)</f>
        <v/>
      </c>
      <c r="C775" s="11" t="str">
        <f>IF(A775="","",'Cálculos y conversiones'!$B$11*Tabla!E774)</f>
        <v/>
      </c>
      <c r="D775" s="11" t="str">
        <f t="shared" si="22"/>
        <v/>
      </c>
      <c r="E775" s="11" t="str">
        <f t="shared" si="23"/>
        <v/>
      </c>
    </row>
    <row r="776" spans="2:5" x14ac:dyDescent="0.25">
      <c r="B776" s="11" t="str">
        <f>IF(A776="","",'Cálculos y conversiones'!$B$14)</f>
        <v/>
      </c>
      <c r="C776" s="11" t="str">
        <f>IF(A776="","",'Cálculos y conversiones'!$B$11*Tabla!E775)</f>
        <v/>
      </c>
      <c r="D776" s="11" t="str">
        <f t="shared" si="22"/>
        <v/>
      </c>
      <c r="E776" s="11" t="str">
        <f t="shared" si="23"/>
        <v/>
      </c>
    </row>
    <row r="777" spans="2:5" x14ac:dyDescent="0.25">
      <c r="B777" s="11" t="str">
        <f>IF(A777="","",'Cálculos y conversiones'!$B$14)</f>
        <v/>
      </c>
      <c r="C777" s="11" t="str">
        <f>IF(A777="","",'Cálculos y conversiones'!$B$11*Tabla!E776)</f>
        <v/>
      </c>
      <c r="D777" s="11" t="str">
        <f t="shared" si="22"/>
        <v/>
      </c>
      <c r="E777" s="11" t="str">
        <f t="shared" si="23"/>
        <v/>
      </c>
    </row>
    <row r="778" spans="2:5" x14ac:dyDescent="0.25">
      <c r="B778" s="11" t="str">
        <f>IF(A778="","",'Cálculos y conversiones'!$B$14)</f>
        <v/>
      </c>
      <c r="C778" s="11" t="str">
        <f>IF(A778="","",'Cálculos y conversiones'!$B$11*Tabla!E777)</f>
        <v/>
      </c>
      <c r="D778" s="11" t="str">
        <f t="shared" ref="D778:D841" si="24">IF(A778="","",B778-C778)</f>
        <v/>
      </c>
      <c r="E778" s="11" t="str">
        <f t="shared" ref="E778:E841" si="25">IF(A778="","",E777-D778)</f>
        <v/>
      </c>
    </row>
    <row r="779" spans="2:5" x14ac:dyDescent="0.25">
      <c r="B779" s="11" t="str">
        <f>IF(A779="","",'Cálculos y conversiones'!$B$14)</f>
        <v/>
      </c>
      <c r="C779" s="11" t="str">
        <f>IF(A779="","",'Cálculos y conversiones'!$B$11*Tabla!E778)</f>
        <v/>
      </c>
      <c r="D779" s="11" t="str">
        <f t="shared" si="24"/>
        <v/>
      </c>
      <c r="E779" s="11" t="str">
        <f t="shared" si="25"/>
        <v/>
      </c>
    </row>
    <row r="780" spans="2:5" x14ac:dyDescent="0.25">
      <c r="B780" s="11" t="str">
        <f>IF(A780="","",'Cálculos y conversiones'!$B$14)</f>
        <v/>
      </c>
      <c r="C780" s="11" t="str">
        <f>IF(A780="","",'Cálculos y conversiones'!$B$11*Tabla!E779)</f>
        <v/>
      </c>
      <c r="D780" s="11" t="str">
        <f t="shared" si="24"/>
        <v/>
      </c>
      <c r="E780" s="11" t="str">
        <f t="shared" si="25"/>
        <v/>
      </c>
    </row>
    <row r="781" spans="2:5" x14ac:dyDescent="0.25">
      <c r="B781" s="11" t="str">
        <f>IF(A781="","",'Cálculos y conversiones'!$B$14)</f>
        <v/>
      </c>
      <c r="C781" s="11" t="str">
        <f>IF(A781="","",'Cálculos y conversiones'!$B$11*Tabla!E780)</f>
        <v/>
      </c>
      <c r="D781" s="11" t="str">
        <f t="shared" si="24"/>
        <v/>
      </c>
      <c r="E781" s="11" t="str">
        <f t="shared" si="25"/>
        <v/>
      </c>
    </row>
    <row r="782" spans="2:5" x14ac:dyDescent="0.25">
      <c r="B782" s="11" t="str">
        <f>IF(A782="","",'Cálculos y conversiones'!$B$14)</f>
        <v/>
      </c>
      <c r="C782" s="11" t="str">
        <f>IF(A782="","",'Cálculos y conversiones'!$B$11*Tabla!E781)</f>
        <v/>
      </c>
      <c r="D782" s="11" t="str">
        <f t="shared" si="24"/>
        <v/>
      </c>
      <c r="E782" s="11" t="str">
        <f t="shared" si="25"/>
        <v/>
      </c>
    </row>
    <row r="783" spans="2:5" x14ac:dyDescent="0.25">
      <c r="B783" s="11" t="str">
        <f>IF(A783="","",'Cálculos y conversiones'!$B$14)</f>
        <v/>
      </c>
      <c r="C783" s="11" t="str">
        <f>IF(A783="","",'Cálculos y conversiones'!$B$11*Tabla!E782)</f>
        <v/>
      </c>
      <c r="D783" s="11" t="str">
        <f t="shared" si="24"/>
        <v/>
      </c>
      <c r="E783" s="11" t="str">
        <f t="shared" si="25"/>
        <v/>
      </c>
    </row>
    <row r="784" spans="2:5" x14ac:dyDescent="0.25">
      <c r="B784" s="11" t="str">
        <f>IF(A784="","",'Cálculos y conversiones'!$B$14)</f>
        <v/>
      </c>
      <c r="C784" s="11" t="str">
        <f>IF(A784="","",'Cálculos y conversiones'!$B$11*Tabla!E783)</f>
        <v/>
      </c>
      <c r="D784" s="11" t="str">
        <f t="shared" si="24"/>
        <v/>
      </c>
      <c r="E784" s="11" t="str">
        <f t="shared" si="25"/>
        <v/>
      </c>
    </row>
    <row r="785" spans="2:5" x14ac:dyDescent="0.25">
      <c r="B785" s="11" t="str">
        <f>IF(A785="","",'Cálculos y conversiones'!$B$14)</f>
        <v/>
      </c>
      <c r="C785" s="11" t="str">
        <f>IF(A785="","",'Cálculos y conversiones'!$B$11*Tabla!E784)</f>
        <v/>
      </c>
      <c r="D785" s="11" t="str">
        <f t="shared" si="24"/>
        <v/>
      </c>
      <c r="E785" s="11" t="str">
        <f t="shared" si="25"/>
        <v/>
      </c>
    </row>
    <row r="786" spans="2:5" x14ac:dyDescent="0.25">
      <c r="B786" s="11" t="str">
        <f>IF(A786="","",'Cálculos y conversiones'!$B$14)</f>
        <v/>
      </c>
      <c r="C786" s="11" t="str">
        <f>IF(A786="","",'Cálculos y conversiones'!$B$11*Tabla!E785)</f>
        <v/>
      </c>
      <c r="D786" s="11" t="str">
        <f t="shared" si="24"/>
        <v/>
      </c>
      <c r="E786" s="11" t="str">
        <f t="shared" si="25"/>
        <v/>
      </c>
    </row>
    <row r="787" spans="2:5" x14ac:dyDescent="0.25">
      <c r="B787" s="11" t="str">
        <f>IF(A787="","",'Cálculos y conversiones'!$B$14)</f>
        <v/>
      </c>
      <c r="C787" s="11" t="str">
        <f>IF(A787="","",'Cálculos y conversiones'!$B$11*Tabla!E786)</f>
        <v/>
      </c>
      <c r="D787" s="11" t="str">
        <f t="shared" si="24"/>
        <v/>
      </c>
      <c r="E787" s="11" t="str">
        <f t="shared" si="25"/>
        <v/>
      </c>
    </row>
    <row r="788" spans="2:5" x14ac:dyDescent="0.25">
      <c r="B788" s="11" t="str">
        <f>IF(A788="","",'Cálculos y conversiones'!$B$14)</f>
        <v/>
      </c>
      <c r="C788" s="11" t="str">
        <f>IF(A788="","",'Cálculos y conversiones'!$B$11*Tabla!E787)</f>
        <v/>
      </c>
      <c r="D788" s="11" t="str">
        <f t="shared" si="24"/>
        <v/>
      </c>
      <c r="E788" s="11" t="str">
        <f t="shared" si="25"/>
        <v/>
      </c>
    </row>
    <row r="789" spans="2:5" x14ac:dyDescent="0.25">
      <c r="B789" s="11" t="str">
        <f>IF(A789="","",'Cálculos y conversiones'!$B$14)</f>
        <v/>
      </c>
      <c r="C789" s="11" t="str">
        <f>IF(A789="","",'Cálculos y conversiones'!$B$11*Tabla!E788)</f>
        <v/>
      </c>
      <c r="D789" s="11" t="str">
        <f t="shared" si="24"/>
        <v/>
      </c>
      <c r="E789" s="11" t="str">
        <f t="shared" si="25"/>
        <v/>
      </c>
    </row>
    <row r="790" spans="2:5" x14ac:dyDescent="0.25">
      <c r="B790" s="11" t="str">
        <f>IF(A790="","",'Cálculos y conversiones'!$B$14)</f>
        <v/>
      </c>
      <c r="C790" s="11" t="str">
        <f>IF(A790="","",'Cálculos y conversiones'!$B$11*Tabla!E789)</f>
        <v/>
      </c>
      <c r="D790" s="11" t="str">
        <f t="shared" si="24"/>
        <v/>
      </c>
      <c r="E790" s="11" t="str">
        <f t="shared" si="25"/>
        <v/>
      </c>
    </row>
    <row r="791" spans="2:5" x14ac:dyDescent="0.25">
      <c r="B791" s="11" t="str">
        <f>IF(A791="","",'Cálculos y conversiones'!$B$14)</f>
        <v/>
      </c>
      <c r="C791" s="11" t="str">
        <f>IF(A791="","",'Cálculos y conversiones'!$B$11*Tabla!E790)</f>
        <v/>
      </c>
      <c r="D791" s="11" t="str">
        <f t="shared" si="24"/>
        <v/>
      </c>
      <c r="E791" s="11" t="str">
        <f t="shared" si="25"/>
        <v/>
      </c>
    </row>
    <row r="792" spans="2:5" x14ac:dyDescent="0.25">
      <c r="B792" s="11" t="str">
        <f>IF(A792="","",'Cálculos y conversiones'!$B$14)</f>
        <v/>
      </c>
      <c r="C792" s="11" t="str">
        <f>IF(A792="","",'Cálculos y conversiones'!$B$11*Tabla!E791)</f>
        <v/>
      </c>
      <c r="D792" s="11" t="str">
        <f t="shared" si="24"/>
        <v/>
      </c>
      <c r="E792" s="11" t="str">
        <f t="shared" si="25"/>
        <v/>
      </c>
    </row>
    <row r="793" spans="2:5" x14ac:dyDescent="0.25">
      <c r="B793" s="11" t="str">
        <f>IF(A793="","",'Cálculos y conversiones'!$B$14)</f>
        <v/>
      </c>
      <c r="C793" s="11" t="str">
        <f>IF(A793="","",'Cálculos y conversiones'!$B$11*Tabla!E792)</f>
        <v/>
      </c>
      <c r="D793" s="11" t="str">
        <f t="shared" si="24"/>
        <v/>
      </c>
      <c r="E793" s="11" t="str">
        <f t="shared" si="25"/>
        <v/>
      </c>
    </row>
    <row r="794" spans="2:5" x14ac:dyDescent="0.25">
      <c r="B794" s="11" t="str">
        <f>IF(A794="","",'Cálculos y conversiones'!$B$14)</f>
        <v/>
      </c>
      <c r="C794" s="11" t="str">
        <f>IF(A794="","",'Cálculos y conversiones'!$B$11*Tabla!E793)</f>
        <v/>
      </c>
      <c r="D794" s="11" t="str">
        <f t="shared" si="24"/>
        <v/>
      </c>
      <c r="E794" s="11" t="str">
        <f t="shared" si="25"/>
        <v/>
      </c>
    </row>
    <row r="795" spans="2:5" x14ac:dyDescent="0.25">
      <c r="B795" s="11" t="str">
        <f>IF(A795="","",'Cálculos y conversiones'!$B$14)</f>
        <v/>
      </c>
      <c r="C795" s="11" t="str">
        <f>IF(A795="","",'Cálculos y conversiones'!$B$11*Tabla!E794)</f>
        <v/>
      </c>
      <c r="D795" s="11" t="str">
        <f t="shared" si="24"/>
        <v/>
      </c>
      <c r="E795" s="11" t="str">
        <f t="shared" si="25"/>
        <v/>
      </c>
    </row>
    <row r="796" spans="2:5" x14ac:dyDescent="0.25">
      <c r="B796" s="11" t="str">
        <f>IF(A796="","",'Cálculos y conversiones'!$B$14)</f>
        <v/>
      </c>
      <c r="C796" s="11" t="str">
        <f>IF(A796="","",'Cálculos y conversiones'!$B$11*Tabla!E795)</f>
        <v/>
      </c>
      <c r="D796" s="11" t="str">
        <f t="shared" si="24"/>
        <v/>
      </c>
      <c r="E796" s="11" t="str">
        <f t="shared" si="25"/>
        <v/>
      </c>
    </row>
    <row r="797" spans="2:5" x14ac:dyDescent="0.25">
      <c r="B797" s="11" t="str">
        <f>IF(A797="","",'Cálculos y conversiones'!$B$14)</f>
        <v/>
      </c>
      <c r="C797" s="11" t="str">
        <f>IF(A797="","",'Cálculos y conversiones'!$B$11*Tabla!E796)</f>
        <v/>
      </c>
      <c r="D797" s="11" t="str">
        <f t="shared" si="24"/>
        <v/>
      </c>
      <c r="E797" s="11" t="str">
        <f t="shared" si="25"/>
        <v/>
      </c>
    </row>
    <row r="798" spans="2:5" x14ac:dyDescent="0.25">
      <c r="B798" s="11" t="str">
        <f>IF(A798="","",'Cálculos y conversiones'!$B$14)</f>
        <v/>
      </c>
      <c r="C798" s="11" t="str">
        <f>IF(A798="","",'Cálculos y conversiones'!$B$11*Tabla!E797)</f>
        <v/>
      </c>
      <c r="D798" s="11" t="str">
        <f t="shared" si="24"/>
        <v/>
      </c>
      <c r="E798" s="11" t="str">
        <f t="shared" si="25"/>
        <v/>
      </c>
    </row>
    <row r="799" spans="2:5" x14ac:dyDescent="0.25">
      <c r="B799" s="11" t="str">
        <f>IF(A799="","",'Cálculos y conversiones'!$B$14)</f>
        <v/>
      </c>
      <c r="C799" s="11" t="str">
        <f>IF(A799="","",'Cálculos y conversiones'!$B$11*Tabla!E798)</f>
        <v/>
      </c>
      <c r="D799" s="11" t="str">
        <f t="shared" si="24"/>
        <v/>
      </c>
      <c r="E799" s="11" t="str">
        <f t="shared" si="25"/>
        <v/>
      </c>
    </row>
    <row r="800" spans="2:5" x14ac:dyDescent="0.25">
      <c r="B800" s="11" t="str">
        <f>IF(A800="","",'Cálculos y conversiones'!$B$14)</f>
        <v/>
      </c>
      <c r="C800" s="11" t="str">
        <f>IF(A800="","",'Cálculos y conversiones'!$B$11*Tabla!E799)</f>
        <v/>
      </c>
      <c r="D800" s="11" t="str">
        <f t="shared" si="24"/>
        <v/>
      </c>
      <c r="E800" s="11" t="str">
        <f t="shared" si="25"/>
        <v/>
      </c>
    </row>
    <row r="801" spans="2:5" x14ac:dyDescent="0.25">
      <c r="B801" s="11" t="str">
        <f>IF(A801="","",'Cálculos y conversiones'!$B$14)</f>
        <v/>
      </c>
      <c r="C801" s="11" t="str">
        <f>IF(A801="","",'Cálculos y conversiones'!$B$11*Tabla!E800)</f>
        <v/>
      </c>
      <c r="D801" s="11" t="str">
        <f t="shared" si="24"/>
        <v/>
      </c>
      <c r="E801" s="11" t="str">
        <f t="shared" si="25"/>
        <v/>
      </c>
    </row>
    <row r="802" spans="2:5" x14ac:dyDescent="0.25">
      <c r="B802" s="11" t="str">
        <f>IF(A802="","",'Cálculos y conversiones'!$B$14)</f>
        <v/>
      </c>
      <c r="C802" s="11" t="str">
        <f>IF(A802="","",'Cálculos y conversiones'!$B$11*Tabla!E801)</f>
        <v/>
      </c>
      <c r="D802" s="11" t="str">
        <f t="shared" si="24"/>
        <v/>
      </c>
      <c r="E802" s="11" t="str">
        <f t="shared" si="25"/>
        <v/>
      </c>
    </row>
    <row r="803" spans="2:5" x14ac:dyDescent="0.25">
      <c r="B803" s="11" t="str">
        <f>IF(A803="","",'Cálculos y conversiones'!$B$14)</f>
        <v/>
      </c>
      <c r="C803" s="11" t="str">
        <f>IF(A803="","",'Cálculos y conversiones'!$B$11*Tabla!E802)</f>
        <v/>
      </c>
      <c r="D803" s="11" t="str">
        <f t="shared" si="24"/>
        <v/>
      </c>
      <c r="E803" s="11" t="str">
        <f t="shared" si="25"/>
        <v/>
      </c>
    </row>
    <row r="804" spans="2:5" x14ac:dyDescent="0.25">
      <c r="B804" s="11" t="str">
        <f>IF(A804="","",'Cálculos y conversiones'!$B$14)</f>
        <v/>
      </c>
      <c r="C804" s="11" t="str">
        <f>IF(A804="","",'Cálculos y conversiones'!$B$11*Tabla!E803)</f>
        <v/>
      </c>
      <c r="D804" s="11" t="str">
        <f t="shared" si="24"/>
        <v/>
      </c>
      <c r="E804" s="11" t="str">
        <f t="shared" si="25"/>
        <v/>
      </c>
    </row>
    <row r="805" spans="2:5" x14ac:dyDescent="0.25">
      <c r="B805" s="11" t="str">
        <f>IF(A805="","",'Cálculos y conversiones'!$B$14)</f>
        <v/>
      </c>
      <c r="C805" s="11" t="str">
        <f>IF(A805="","",'Cálculos y conversiones'!$B$11*Tabla!E804)</f>
        <v/>
      </c>
      <c r="D805" s="11" t="str">
        <f t="shared" si="24"/>
        <v/>
      </c>
      <c r="E805" s="11" t="str">
        <f t="shared" si="25"/>
        <v/>
      </c>
    </row>
    <row r="806" spans="2:5" x14ac:dyDescent="0.25">
      <c r="B806" s="11" t="str">
        <f>IF(A806="","",'Cálculos y conversiones'!$B$14)</f>
        <v/>
      </c>
      <c r="C806" s="11" t="str">
        <f>IF(A806="","",'Cálculos y conversiones'!$B$11*Tabla!E805)</f>
        <v/>
      </c>
      <c r="D806" s="11" t="str">
        <f t="shared" si="24"/>
        <v/>
      </c>
      <c r="E806" s="11" t="str">
        <f t="shared" si="25"/>
        <v/>
      </c>
    </row>
    <row r="807" spans="2:5" x14ac:dyDescent="0.25">
      <c r="B807" s="11" t="str">
        <f>IF(A807="","",'Cálculos y conversiones'!$B$14)</f>
        <v/>
      </c>
      <c r="C807" s="11" t="str">
        <f>IF(A807="","",'Cálculos y conversiones'!$B$11*Tabla!E806)</f>
        <v/>
      </c>
      <c r="D807" s="11" t="str">
        <f t="shared" si="24"/>
        <v/>
      </c>
      <c r="E807" s="11" t="str">
        <f t="shared" si="25"/>
        <v/>
      </c>
    </row>
    <row r="808" spans="2:5" x14ac:dyDescent="0.25">
      <c r="B808" s="11" t="str">
        <f>IF(A808="","",'Cálculos y conversiones'!$B$14)</f>
        <v/>
      </c>
      <c r="C808" s="11" t="str">
        <f>IF(A808="","",'Cálculos y conversiones'!$B$11*Tabla!E807)</f>
        <v/>
      </c>
      <c r="D808" s="11" t="str">
        <f t="shared" si="24"/>
        <v/>
      </c>
      <c r="E808" s="11" t="str">
        <f t="shared" si="25"/>
        <v/>
      </c>
    </row>
    <row r="809" spans="2:5" x14ac:dyDescent="0.25">
      <c r="B809" s="11" t="str">
        <f>IF(A809="","",'Cálculos y conversiones'!$B$14)</f>
        <v/>
      </c>
      <c r="C809" s="11" t="str">
        <f>IF(A809="","",'Cálculos y conversiones'!$B$11*Tabla!E808)</f>
        <v/>
      </c>
      <c r="D809" s="11" t="str">
        <f t="shared" si="24"/>
        <v/>
      </c>
      <c r="E809" s="11" t="str">
        <f t="shared" si="25"/>
        <v/>
      </c>
    </row>
    <row r="810" spans="2:5" x14ac:dyDescent="0.25">
      <c r="B810" s="11" t="str">
        <f>IF(A810="","",'Cálculos y conversiones'!$B$14)</f>
        <v/>
      </c>
      <c r="C810" s="11" t="str">
        <f>IF(A810="","",'Cálculos y conversiones'!$B$11*Tabla!E809)</f>
        <v/>
      </c>
      <c r="D810" s="11" t="str">
        <f t="shared" si="24"/>
        <v/>
      </c>
      <c r="E810" s="11" t="str">
        <f t="shared" si="25"/>
        <v/>
      </c>
    </row>
    <row r="811" spans="2:5" x14ac:dyDescent="0.25">
      <c r="B811" s="11" t="str">
        <f>IF(A811="","",'Cálculos y conversiones'!$B$14)</f>
        <v/>
      </c>
      <c r="C811" s="11" t="str">
        <f>IF(A811="","",'Cálculos y conversiones'!$B$11*Tabla!E810)</f>
        <v/>
      </c>
      <c r="D811" s="11" t="str">
        <f t="shared" si="24"/>
        <v/>
      </c>
      <c r="E811" s="11" t="str">
        <f t="shared" si="25"/>
        <v/>
      </c>
    </row>
    <row r="812" spans="2:5" x14ac:dyDescent="0.25">
      <c r="B812" s="11" t="str">
        <f>IF(A812="","",'Cálculos y conversiones'!$B$14)</f>
        <v/>
      </c>
      <c r="C812" s="11" t="str">
        <f>IF(A812="","",'Cálculos y conversiones'!$B$11*Tabla!E811)</f>
        <v/>
      </c>
      <c r="D812" s="11" t="str">
        <f t="shared" si="24"/>
        <v/>
      </c>
      <c r="E812" s="11" t="str">
        <f t="shared" si="25"/>
        <v/>
      </c>
    </row>
    <row r="813" spans="2:5" x14ac:dyDescent="0.25">
      <c r="B813" s="11" t="str">
        <f>IF(A813="","",'Cálculos y conversiones'!$B$14)</f>
        <v/>
      </c>
      <c r="C813" s="11" t="str">
        <f>IF(A813="","",'Cálculos y conversiones'!$B$11*Tabla!E812)</f>
        <v/>
      </c>
      <c r="D813" s="11" t="str">
        <f t="shared" si="24"/>
        <v/>
      </c>
      <c r="E813" s="11" t="str">
        <f t="shared" si="25"/>
        <v/>
      </c>
    </row>
    <row r="814" spans="2:5" x14ac:dyDescent="0.25">
      <c r="B814" s="11" t="str">
        <f>IF(A814="","",'Cálculos y conversiones'!$B$14)</f>
        <v/>
      </c>
      <c r="C814" s="11" t="str">
        <f>IF(A814="","",'Cálculos y conversiones'!$B$11*Tabla!E813)</f>
        <v/>
      </c>
      <c r="D814" s="11" t="str">
        <f t="shared" si="24"/>
        <v/>
      </c>
      <c r="E814" s="11" t="str">
        <f t="shared" si="25"/>
        <v/>
      </c>
    </row>
    <row r="815" spans="2:5" x14ac:dyDescent="0.25">
      <c r="B815" s="11" t="str">
        <f>IF(A815="","",'Cálculos y conversiones'!$B$14)</f>
        <v/>
      </c>
      <c r="C815" s="11" t="str">
        <f>IF(A815="","",'Cálculos y conversiones'!$B$11*Tabla!E814)</f>
        <v/>
      </c>
      <c r="D815" s="11" t="str">
        <f t="shared" si="24"/>
        <v/>
      </c>
      <c r="E815" s="11" t="str">
        <f t="shared" si="25"/>
        <v/>
      </c>
    </row>
    <row r="816" spans="2:5" x14ac:dyDescent="0.25">
      <c r="B816" s="11" t="str">
        <f>IF(A816="","",'Cálculos y conversiones'!$B$14)</f>
        <v/>
      </c>
      <c r="C816" s="11" t="str">
        <f>IF(A816="","",'Cálculos y conversiones'!$B$11*Tabla!E815)</f>
        <v/>
      </c>
      <c r="D816" s="11" t="str">
        <f t="shared" si="24"/>
        <v/>
      </c>
      <c r="E816" s="11" t="str">
        <f t="shared" si="25"/>
        <v/>
      </c>
    </row>
    <row r="817" spans="2:5" x14ac:dyDescent="0.25">
      <c r="B817" s="11" t="str">
        <f>IF(A817="","",'Cálculos y conversiones'!$B$14)</f>
        <v/>
      </c>
      <c r="C817" s="11" t="str">
        <f>IF(A817="","",'Cálculos y conversiones'!$B$11*Tabla!E816)</f>
        <v/>
      </c>
      <c r="D817" s="11" t="str">
        <f t="shared" si="24"/>
        <v/>
      </c>
      <c r="E817" s="11" t="str">
        <f t="shared" si="25"/>
        <v/>
      </c>
    </row>
    <row r="818" spans="2:5" x14ac:dyDescent="0.25">
      <c r="B818" s="11" t="str">
        <f>IF(A818="","",'Cálculos y conversiones'!$B$14)</f>
        <v/>
      </c>
      <c r="C818" s="11" t="str">
        <f>IF(A818="","",'Cálculos y conversiones'!$B$11*Tabla!E817)</f>
        <v/>
      </c>
      <c r="D818" s="11" t="str">
        <f t="shared" si="24"/>
        <v/>
      </c>
      <c r="E818" s="11" t="str">
        <f t="shared" si="25"/>
        <v/>
      </c>
    </row>
    <row r="819" spans="2:5" x14ac:dyDescent="0.25">
      <c r="B819" s="11" t="str">
        <f>IF(A819="","",'Cálculos y conversiones'!$B$14)</f>
        <v/>
      </c>
      <c r="C819" s="11" t="str">
        <f>IF(A819="","",'Cálculos y conversiones'!$B$11*Tabla!E818)</f>
        <v/>
      </c>
      <c r="D819" s="11" t="str">
        <f t="shared" si="24"/>
        <v/>
      </c>
      <c r="E819" s="11" t="str">
        <f t="shared" si="25"/>
        <v/>
      </c>
    </row>
    <row r="820" spans="2:5" x14ac:dyDescent="0.25">
      <c r="B820" s="11" t="str">
        <f>IF(A820="","",'Cálculos y conversiones'!$B$14)</f>
        <v/>
      </c>
      <c r="C820" s="11" t="str">
        <f>IF(A820="","",'Cálculos y conversiones'!$B$11*Tabla!E819)</f>
        <v/>
      </c>
      <c r="D820" s="11" t="str">
        <f t="shared" si="24"/>
        <v/>
      </c>
      <c r="E820" s="11" t="str">
        <f t="shared" si="25"/>
        <v/>
      </c>
    </row>
    <row r="821" spans="2:5" x14ac:dyDescent="0.25">
      <c r="B821" s="11" t="str">
        <f>IF(A821="","",'Cálculos y conversiones'!$B$14)</f>
        <v/>
      </c>
      <c r="C821" s="11" t="str">
        <f>IF(A821="","",'Cálculos y conversiones'!$B$11*Tabla!E820)</f>
        <v/>
      </c>
      <c r="D821" s="11" t="str">
        <f t="shared" si="24"/>
        <v/>
      </c>
      <c r="E821" s="11" t="str">
        <f t="shared" si="25"/>
        <v/>
      </c>
    </row>
    <row r="822" spans="2:5" x14ac:dyDescent="0.25">
      <c r="B822" s="11" t="str">
        <f>IF(A822="","",'Cálculos y conversiones'!$B$14)</f>
        <v/>
      </c>
      <c r="C822" s="11" t="str">
        <f>IF(A822="","",'Cálculos y conversiones'!$B$11*Tabla!E821)</f>
        <v/>
      </c>
      <c r="D822" s="11" t="str">
        <f t="shared" si="24"/>
        <v/>
      </c>
      <c r="E822" s="11" t="str">
        <f t="shared" si="25"/>
        <v/>
      </c>
    </row>
    <row r="823" spans="2:5" x14ac:dyDescent="0.25">
      <c r="B823" s="11" t="str">
        <f>IF(A823="","",'Cálculos y conversiones'!$B$14)</f>
        <v/>
      </c>
      <c r="C823" s="11" t="str">
        <f>IF(A823="","",'Cálculos y conversiones'!$B$11*Tabla!E822)</f>
        <v/>
      </c>
      <c r="D823" s="11" t="str">
        <f t="shared" si="24"/>
        <v/>
      </c>
      <c r="E823" s="11" t="str">
        <f t="shared" si="25"/>
        <v/>
      </c>
    </row>
    <row r="824" spans="2:5" x14ac:dyDescent="0.25">
      <c r="B824" s="11" t="str">
        <f>IF(A824="","",'Cálculos y conversiones'!$B$14)</f>
        <v/>
      </c>
      <c r="C824" s="11" t="str">
        <f>IF(A824="","",'Cálculos y conversiones'!$B$11*Tabla!E823)</f>
        <v/>
      </c>
      <c r="D824" s="11" t="str">
        <f t="shared" si="24"/>
        <v/>
      </c>
      <c r="E824" s="11" t="str">
        <f t="shared" si="25"/>
        <v/>
      </c>
    </row>
    <row r="825" spans="2:5" x14ac:dyDescent="0.25">
      <c r="B825" s="11" t="str">
        <f>IF(A825="","",'Cálculos y conversiones'!$B$14)</f>
        <v/>
      </c>
      <c r="C825" s="11" t="str">
        <f>IF(A825="","",'Cálculos y conversiones'!$B$11*Tabla!E824)</f>
        <v/>
      </c>
      <c r="D825" s="11" t="str">
        <f t="shared" si="24"/>
        <v/>
      </c>
      <c r="E825" s="11" t="str">
        <f t="shared" si="25"/>
        <v/>
      </c>
    </row>
    <row r="826" spans="2:5" x14ac:dyDescent="0.25">
      <c r="B826" s="11" t="str">
        <f>IF(A826="","",'Cálculos y conversiones'!$B$14)</f>
        <v/>
      </c>
      <c r="C826" s="11" t="str">
        <f>IF(A826="","",'Cálculos y conversiones'!$B$11*Tabla!E825)</f>
        <v/>
      </c>
      <c r="D826" s="11" t="str">
        <f t="shared" si="24"/>
        <v/>
      </c>
      <c r="E826" s="11" t="str">
        <f t="shared" si="25"/>
        <v/>
      </c>
    </row>
    <row r="827" spans="2:5" x14ac:dyDescent="0.25">
      <c r="B827" s="11" t="str">
        <f>IF(A827="","",'Cálculos y conversiones'!$B$14)</f>
        <v/>
      </c>
      <c r="C827" s="11" t="str">
        <f>IF(A827="","",'Cálculos y conversiones'!$B$11*Tabla!E826)</f>
        <v/>
      </c>
      <c r="D827" s="11" t="str">
        <f t="shared" si="24"/>
        <v/>
      </c>
      <c r="E827" s="11" t="str">
        <f t="shared" si="25"/>
        <v/>
      </c>
    </row>
    <row r="828" spans="2:5" x14ac:dyDescent="0.25">
      <c r="B828" s="11" t="str">
        <f>IF(A828="","",'Cálculos y conversiones'!$B$14)</f>
        <v/>
      </c>
      <c r="C828" s="11" t="str">
        <f>IF(A828="","",'Cálculos y conversiones'!$B$11*Tabla!E827)</f>
        <v/>
      </c>
      <c r="D828" s="11" t="str">
        <f t="shared" si="24"/>
        <v/>
      </c>
      <c r="E828" s="11" t="str">
        <f t="shared" si="25"/>
        <v/>
      </c>
    </row>
    <row r="829" spans="2:5" x14ac:dyDescent="0.25">
      <c r="B829" s="11" t="str">
        <f>IF(A829="","",'Cálculos y conversiones'!$B$14)</f>
        <v/>
      </c>
      <c r="C829" s="11" t="str">
        <f>IF(A829="","",'Cálculos y conversiones'!$B$11*Tabla!E828)</f>
        <v/>
      </c>
      <c r="D829" s="11" t="str">
        <f t="shared" si="24"/>
        <v/>
      </c>
      <c r="E829" s="11" t="str">
        <f t="shared" si="25"/>
        <v/>
      </c>
    </row>
    <row r="830" spans="2:5" x14ac:dyDescent="0.25">
      <c r="B830" s="11" t="str">
        <f>IF(A830="","",'Cálculos y conversiones'!$B$14)</f>
        <v/>
      </c>
      <c r="C830" s="11" t="str">
        <f>IF(A830="","",'Cálculos y conversiones'!$B$11*Tabla!E829)</f>
        <v/>
      </c>
      <c r="D830" s="11" t="str">
        <f t="shared" si="24"/>
        <v/>
      </c>
      <c r="E830" s="11" t="str">
        <f t="shared" si="25"/>
        <v/>
      </c>
    </row>
    <row r="831" spans="2:5" x14ac:dyDescent="0.25">
      <c r="B831" s="11" t="str">
        <f>IF(A831="","",'Cálculos y conversiones'!$B$14)</f>
        <v/>
      </c>
      <c r="C831" s="11" t="str">
        <f>IF(A831="","",'Cálculos y conversiones'!$B$11*Tabla!E830)</f>
        <v/>
      </c>
      <c r="D831" s="11" t="str">
        <f t="shared" si="24"/>
        <v/>
      </c>
      <c r="E831" s="11" t="str">
        <f t="shared" si="25"/>
        <v/>
      </c>
    </row>
    <row r="832" spans="2:5" x14ac:dyDescent="0.25">
      <c r="B832" s="11" t="str">
        <f>IF(A832="","",'Cálculos y conversiones'!$B$14)</f>
        <v/>
      </c>
      <c r="C832" s="11" t="str">
        <f>IF(A832="","",'Cálculos y conversiones'!$B$11*Tabla!E831)</f>
        <v/>
      </c>
      <c r="D832" s="11" t="str">
        <f t="shared" si="24"/>
        <v/>
      </c>
      <c r="E832" s="11" t="str">
        <f t="shared" si="25"/>
        <v/>
      </c>
    </row>
    <row r="833" spans="2:5" x14ac:dyDescent="0.25">
      <c r="B833" s="11" t="str">
        <f>IF(A833="","",'Cálculos y conversiones'!$B$14)</f>
        <v/>
      </c>
      <c r="C833" s="11" t="str">
        <f>IF(A833="","",'Cálculos y conversiones'!$B$11*Tabla!E832)</f>
        <v/>
      </c>
      <c r="D833" s="11" t="str">
        <f t="shared" si="24"/>
        <v/>
      </c>
      <c r="E833" s="11" t="str">
        <f t="shared" si="25"/>
        <v/>
      </c>
    </row>
    <row r="834" spans="2:5" x14ac:dyDescent="0.25">
      <c r="B834" s="11" t="str">
        <f>IF(A834="","",'Cálculos y conversiones'!$B$14)</f>
        <v/>
      </c>
      <c r="C834" s="11" t="str">
        <f>IF(A834="","",'Cálculos y conversiones'!$B$11*Tabla!E833)</f>
        <v/>
      </c>
      <c r="D834" s="11" t="str">
        <f t="shared" si="24"/>
        <v/>
      </c>
      <c r="E834" s="11" t="str">
        <f t="shared" si="25"/>
        <v/>
      </c>
    </row>
    <row r="835" spans="2:5" x14ac:dyDescent="0.25">
      <c r="B835" s="11" t="str">
        <f>IF(A835="","",'Cálculos y conversiones'!$B$14)</f>
        <v/>
      </c>
      <c r="C835" s="11" t="str">
        <f>IF(A835="","",'Cálculos y conversiones'!$B$11*Tabla!E834)</f>
        <v/>
      </c>
      <c r="D835" s="11" t="str">
        <f t="shared" si="24"/>
        <v/>
      </c>
      <c r="E835" s="11" t="str">
        <f t="shared" si="25"/>
        <v/>
      </c>
    </row>
    <row r="836" spans="2:5" x14ac:dyDescent="0.25">
      <c r="B836" s="11" t="str">
        <f>IF(A836="","",'Cálculos y conversiones'!$B$14)</f>
        <v/>
      </c>
      <c r="C836" s="11" t="str">
        <f>IF(A836="","",'Cálculos y conversiones'!$B$11*Tabla!E835)</f>
        <v/>
      </c>
      <c r="D836" s="11" t="str">
        <f t="shared" si="24"/>
        <v/>
      </c>
      <c r="E836" s="11" t="str">
        <f t="shared" si="25"/>
        <v/>
      </c>
    </row>
    <row r="837" spans="2:5" x14ac:dyDescent="0.25">
      <c r="B837" s="11" t="str">
        <f>IF(A837="","",'Cálculos y conversiones'!$B$14)</f>
        <v/>
      </c>
      <c r="C837" s="11" t="str">
        <f>IF(A837="","",'Cálculos y conversiones'!$B$11*Tabla!E836)</f>
        <v/>
      </c>
      <c r="D837" s="11" t="str">
        <f t="shared" si="24"/>
        <v/>
      </c>
      <c r="E837" s="11" t="str">
        <f t="shared" si="25"/>
        <v/>
      </c>
    </row>
    <row r="838" spans="2:5" x14ac:dyDescent="0.25">
      <c r="B838" s="11" t="str">
        <f>IF(A838="","",'Cálculos y conversiones'!$B$14)</f>
        <v/>
      </c>
      <c r="C838" s="11" t="str">
        <f>IF(A838="","",'Cálculos y conversiones'!$B$11*Tabla!E837)</f>
        <v/>
      </c>
      <c r="D838" s="11" t="str">
        <f t="shared" si="24"/>
        <v/>
      </c>
      <c r="E838" s="11" t="str">
        <f t="shared" si="25"/>
        <v/>
      </c>
    </row>
    <row r="839" spans="2:5" x14ac:dyDescent="0.25">
      <c r="B839" s="11" t="str">
        <f>IF(A839="","",'Cálculos y conversiones'!$B$14)</f>
        <v/>
      </c>
      <c r="C839" s="11" t="str">
        <f>IF(A839="","",'Cálculos y conversiones'!$B$11*Tabla!E838)</f>
        <v/>
      </c>
      <c r="D839" s="11" t="str">
        <f t="shared" si="24"/>
        <v/>
      </c>
      <c r="E839" s="11" t="str">
        <f t="shared" si="25"/>
        <v/>
      </c>
    </row>
    <row r="840" spans="2:5" x14ac:dyDescent="0.25">
      <c r="B840" s="11" t="str">
        <f>IF(A840="","",'Cálculos y conversiones'!$B$14)</f>
        <v/>
      </c>
      <c r="C840" s="11" t="str">
        <f>IF(A840="","",'Cálculos y conversiones'!$B$11*Tabla!E839)</f>
        <v/>
      </c>
      <c r="D840" s="11" t="str">
        <f t="shared" si="24"/>
        <v/>
      </c>
      <c r="E840" s="11" t="str">
        <f t="shared" si="25"/>
        <v/>
      </c>
    </row>
    <row r="841" spans="2:5" x14ac:dyDescent="0.25">
      <c r="B841" s="11" t="str">
        <f>IF(A841="","",'Cálculos y conversiones'!$B$14)</f>
        <v/>
      </c>
      <c r="C841" s="11" t="str">
        <f>IF(A841="","",'Cálculos y conversiones'!$B$11*Tabla!E840)</f>
        <v/>
      </c>
      <c r="D841" s="11" t="str">
        <f t="shared" si="24"/>
        <v/>
      </c>
      <c r="E841" s="11" t="str">
        <f t="shared" si="25"/>
        <v/>
      </c>
    </row>
    <row r="842" spans="2:5" x14ac:dyDescent="0.25">
      <c r="B842" s="11" t="str">
        <f>IF(A842="","",'Cálculos y conversiones'!$B$14)</f>
        <v/>
      </c>
      <c r="C842" s="11" t="str">
        <f>IF(A842="","",'Cálculos y conversiones'!$B$11*Tabla!E841)</f>
        <v/>
      </c>
      <c r="D842" s="11" t="str">
        <f t="shared" ref="D842:D905" si="26">IF(A842="","",B842-C842)</f>
        <v/>
      </c>
      <c r="E842" s="11" t="str">
        <f t="shared" ref="E842:E905" si="27">IF(A842="","",E841-D842)</f>
        <v/>
      </c>
    </row>
    <row r="843" spans="2:5" x14ac:dyDescent="0.25">
      <c r="B843" s="11" t="str">
        <f>IF(A843="","",'Cálculos y conversiones'!$B$14)</f>
        <v/>
      </c>
      <c r="C843" s="11" t="str">
        <f>IF(A843="","",'Cálculos y conversiones'!$B$11*Tabla!E842)</f>
        <v/>
      </c>
      <c r="D843" s="11" t="str">
        <f t="shared" si="26"/>
        <v/>
      </c>
      <c r="E843" s="11" t="str">
        <f t="shared" si="27"/>
        <v/>
      </c>
    </row>
    <row r="844" spans="2:5" x14ac:dyDescent="0.25">
      <c r="B844" s="11" t="str">
        <f>IF(A844="","",'Cálculos y conversiones'!$B$14)</f>
        <v/>
      </c>
      <c r="C844" s="11" t="str">
        <f>IF(A844="","",'Cálculos y conversiones'!$B$11*Tabla!E843)</f>
        <v/>
      </c>
      <c r="D844" s="11" t="str">
        <f t="shared" si="26"/>
        <v/>
      </c>
      <c r="E844" s="11" t="str">
        <f t="shared" si="27"/>
        <v/>
      </c>
    </row>
    <row r="845" spans="2:5" x14ac:dyDescent="0.25">
      <c r="B845" s="11" t="str">
        <f>IF(A845="","",'Cálculos y conversiones'!$B$14)</f>
        <v/>
      </c>
      <c r="C845" s="11" t="str">
        <f>IF(A845="","",'Cálculos y conversiones'!$B$11*Tabla!E844)</f>
        <v/>
      </c>
      <c r="D845" s="11" t="str">
        <f t="shared" si="26"/>
        <v/>
      </c>
      <c r="E845" s="11" t="str">
        <f t="shared" si="27"/>
        <v/>
      </c>
    </row>
    <row r="846" spans="2:5" x14ac:dyDescent="0.25">
      <c r="B846" s="11" t="str">
        <f>IF(A846="","",'Cálculos y conversiones'!$B$14)</f>
        <v/>
      </c>
      <c r="C846" s="11" t="str">
        <f>IF(A846="","",'Cálculos y conversiones'!$B$11*Tabla!E845)</f>
        <v/>
      </c>
      <c r="D846" s="11" t="str">
        <f t="shared" si="26"/>
        <v/>
      </c>
      <c r="E846" s="11" t="str">
        <f t="shared" si="27"/>
        <v/>
      </c>
    </row>
    <row r="847" spans="2:5" x14ac:dyDescent="0.25">
      <c r="B847" s="11" t="str">
        <f>IF(A847="","",'Cálculos y conversiones'!$B$14)</f>
        <v/>
      </c>
      <c r="C847" s="11" t="str">
        <f>IF(A847="","",'Cálculos y conversiones'!$B$11*Tabla!E846)</f>
        <v/>
      </c>
      <c r="D847" s="11" t="str">
        <f t="shared" si="26"/>
        <v/>
      </c>
      <c r="E847" s="11" t="str">
        <f t="shared" si="27"/>
        <v/>
      </c>
    </row>
    <row r="848" spans="2:5" x14ac:dyDescent="0.25">
      <c r="B848" s="11" t="str">
        <f>IF(A848="","",'Cálculos y conversiones'!$B$14)</f>
        <v/>
      </c>
      <c r="C848" s="11" t="str">
        <f>IF(A848="","",'Cálculos y conversiones'!$B$11*Tabla!E847)</f>
        <v/>
      </c>
      <c r="D848" s="11" t="str">
        <f t="shared" si="26"/>
        <v/>
      </c>
      <c r="E848" s="11" t="str">
        <f t="shared" si="27"/>
        <v/>
      </c>
    </row>
    <row r="849" spans="2:5" x14ac:dyDescent="0.25">
      <c r="B849" s="11" t="str">
        <f>IF(A849="","",'Cálculos y conversiones'!$B$14)</f>
        <v/>
      </c>
      <c r="C849" s="11" t="str">
        <f>IF(A849="","",'Cálculos y conversiones'!$B$11*Tabla!E848)</f>
        <v/>
      </c>
      <c r="D849" s="11" t="str">
        <f t="shared" si="26"/>
        <v/>
      </c>
      <c r="E849" s="11" t="str">
        <f t="shared" si="27"/>
        <v/>
      </c>
    </row>
    <row r="850" spans="2:5" x14ac:dyDescent="0.25">
      <c r="B850" s="11" t="str">
        <f>IF(A850="","",'Cálculos y conversiones'!$B$14)</f>
        <v/>
      </c>
      <c r="C850" s="11" t="str">
        <f>IF(A850="","",'Cálculos y conversiones'!$B$11*Tabla!E849)</f>
        <v/>
      </c>
      <c r="D850" s="11" t="str">
        <f t="shared" si="26"/>
        <v/>
      </c>
      <c r="E850" s="11" t="str">
        <f t="shared" si="27"/>
        <v/>
      </c>
    </row>
    <row r="851" spans="2:5" x14ac:dyDescent="0.25">
      <c r="B851" s="11" t="str">
        <f>IF(A851="","",'Cálculos y conversiones'!$B$14)</f>
        <v/>
      </c>
      <c r="C851" s="11" t="str">
        <f>IF(A851="","",'Cálculos y conversiones'!$B$11*Tabla!E850)</f>
        <v/>
      </c>
      <c r="D851" s="11" t="str">
        <f t="shared" si="26"/>
        <v/>
      </c>
      <c r="E851" s="11" t="str">
        <f t="shared" si="27"/>
        <v/>
      </c>
    </row>
    <row r="852" spans="2:5" x14ac:dyDescent="0.25">
      <c r="B852" s="11" t="str">
        <f>IF(A852="","",'Cálculos y conversiones'!$B$14)</f>
        <v/>
      </c>
      <c r="C852" s="11" t="str">
        <f>IF(A852="","",'Cálculos y conversiones'!$B$11*Tabla!E851)</f>
        <v/>
      </c>
      <c r="D852" s="11" t="str">
        <f t="shared" si="26"/>
        <v/>
      </c>
      <c r="E852" s="11" t="str">
        <f t="shared" si="27"/>
        <v/>
      </c>
    </row>
    <row r="853" spans="2:5" x14ac:dyDescent="0.25">
      <c r="B853" s="11" t="str">
        <f>IF(A853="","",'Cálculos y conversiones'!$B$14)</f>
        <v/>
      </c>
      <c r="C853" s="11" t="str">
        <f>IF(A853="","",'Cálculos y conversiones'!$B$11*Tabla!E852)</f>
        <v/>
      </c>
      <c r="D853" s="11" t="str">
        <f t="shared" si="26"/>
        <v/>
      </c>
      <c r="E853" s="11" t="str">
        <f t="shared" si="27"/>
        <v/>
      </c>
    </row>
    <row r="854" spans="2:5" x14ac:dyDescent="0.25">
      <c r="B854" s="11" t="str">
        <f>IF(A854="","",'Cálculos y conversiones'!$B$14)</f>
        <v/>
      </c>
      <c r="C854" s="11" t="str">
        <f>IF(A854="","",'Cálculos y conversiones'!$B$11*Tabla!E853)</f>
        <v/>
      </c>
      <c r="D854" s="11" t="str">
        <f t="shared" si="26"/>
        <v/>
      </c>
      <c r="E854" s="11" t="str">
        <f t="shared" si="27"/>
        <v/>
      </c>
    </row>
    <row r="855" spans="2:5" x14ac:dyDescent="0.25">
      <c r="B855" s="11" t="str">
        <f>IF(A855="","",'Cálculos y conversiones'!$B$14)</f>
        <v/>
      </c>
      <c r="C855" s="11" t="str">
        <f>IF(A855="","",'Cálculos y conversiones'!$B$11*Tabla!E854)</f>
        <v/>
      </c>
      <c r="D855" s="11" t="str">
        <f t="shared" si="26"/>
        <v/>
      </c>
      <c r="E855" s="11" t="str">
        <f t="shared" si="27"/>
        <v/>
      </c>
    </row>
    <row r="856" spans="2:5" x14ac:dyDescent="0.25">
      <c r="B856" s="11" t="str">
        <f>IF(A856="","",'Cálculos y conversiones'!$B$14)</f>
        <v/>
      </c>
      <c r="C856" s="11" t="str">
        <f>IF(A856="","",'Cálculos y conversiones'!$B$11*Tabla!E855)</f>
        <v/>
      </c>
      <c r="D856" s="11" t="str">
        <f t="shared" si="26"/>
        <v/>
      </c>
      <c r="E856" s="11" t="str">
        <f t="shared" si="27"/>
        <v/>
      </c>
    </row>
    <row r="857" spans="2:5" x14ac:dyDescent="0.25">
      <c r="B857" s="11" t="str">
        <f>IF(A857="","",'Cálculos y conversiones'!$B$14)</f>
        <v/>
      </c>
      <c r="C857" s="11" t="str">
        <f>IF(A857="","",'Cálculos y conversiones'!$B$11*Tabla!E856)</f>
        <v/>
      </c>
      <c r="D857" s="11" t="str">
        <f t="shared" si="26"/>
        <v/>
      </c>
      <c r="E857" s="11" t="str">
        <f t="shared" si="27"/>
        <v/>
      </c>
    </row>
    <row r="858" spans="2:5" x14ac:dyDescent="0.25">
      <c r="B858" s="11" t="str">
        <f>IF(A858="","",'Cálculos y conversiones'!$B$14)</f>
        <v/>
      </c>
      <c r="C858" s="11" t="str">
        <f>IF(A858="","",'Cálculos y conversiones'!$B$11*Tabla!E857)</f>
        <v/>
      </c>
      <c r="D858" s="11" t="str">
        <f t="shared" si="26"/>
        <v/>
      </c>
      <c r="E858" s="11" t="str">
        <f t="shared" si="27"/>
        <v/>
      </c>
    </row>
    <row r="859" spans="2:5" x14ac:dyDescent="0.25">
      <c r="B859" s="11" t="str">
        <f>IF(A859="","",'Cálculos y conversiones'!$B$14)</f>
        <v/>
      </c>
      <c r="C859" s="11" t="str">
        <f>IF(A859="","",'Cálculos y conversiones'!$B$11*Tabla!E858)</f>
        <v/>
      </c>
      <c r="D859" s="11" t="str">
        <f t="shared" si="26"/>
        <v/>
      </c>
      <c r="E859" s="11" t="str">
        <f t="shared" si="27"/>
        <v/>
      </c>
    </row>
    <row r="860" spans="2:5" x14ac:dyDescent="0.25">
      <c r="B860" s="11" t="str">
        <f>IF(A860="","",'Cálculos y conversiones'!$B$14)</f>
        <v/>
      </c>
      <c r="C860" s="11" t="str">
        <f>IF(A860="","",'Cálculos y conversiones'!$B$11*Tabla!E859)</f>
        <v/>
      </c>
      <c r="D860" s="11" t="str">
        <f t="shared" si="26"/>
        <v/>
      </c>
      <c r="E860" s="11" t="str">
        <f t="shared" si="27"/>
        <v/>
      </c>
    </row>
    <row r="861" spans="2:5" x14ac:dyDescent="0.25">
      <c r="B861" s="11" t="str">
        <f>IF(A861="","",'Cálculos y conversiones'!$B$14)</f>
        <v/>
      </c>
      <c r="C861" s="11" t="str">
        <f>IF(A861="","",'Cálculos y conversiones'!$B$11*Tabla!E860)</f>
        <v/>
      </c>
      <c r="D861" s="11" t="str">
        <f t="shared" si="26"/>
        <v/>
      </c>
      <c r="E861" s="11" t="str">
        <f t="shared" si="27"/>
        <v/>
      </c>
    </row>
    <row r="862" spans="2:5" x14ac:dyDescent="0.25">
      <c r="B862" s="11" t="str">
        <f>IF(A862="","",'Cálculos y conversiones'!$B$14)</f>
        <v/>
      </c>
      <c r="C862" s="11" t="str">
        <f>IF(A862="","",'Cálculos y conversiones'!$B$11*Tabla!E861)</f>
        <v/>
      </c>
      <c r="D862" s="11" t="str">
        <f t="shared" si="26"/>
        <v/>
      </c>
      <c r="E862" s="11" t="str">
        <f t="shared" si="27"/>
        <v/>
      </c>
    </row>
    <row r="863" spans="2:5" x14ac:dyDescent="0.25">
      <c r="B863" s="11" t="str">
        <f>IF(A863="","",'Cálculos y conversiones'!$B$14)</f>
        <v/>
      </c>
      <c r="C863" s="11" t="str">
        <f>IF(A863="","",'Cálculos y conversiones'!$B$11*Tabla!E862)</f>
        <v/>
      </c>
      <c r="D863" s="11" t="str">
        <f t="shared" si="26"/>
        <v/>
      </c>
      <c r="E863" s="11" t="str">
        <f t="shared" si="27"/>
        <v/>
      </c>
    </row>
    <row r="864" spans="2:5" x14ac:dyDescent="0.25">
      <c r="B864" s="11" t="str">
        <f>IF(A864="","",'Cálculos y conversiones'!$B$14)</f>
        <v/>
      </c>
      <c r="C864" s="11" t="str">
        <f>IF(A864="","",'Cálculos y conversiones'!$B$11*Tabla!E863)</f>
        <v/>
      </c>
      <c r="D864" s="11" t="str">
        <f t="shared" si="26"/>
        <v/>
      </c>
      <c r="E864" s="11" t="str">
        <f t="shared" si="27"/>
        <v/>
      </c>
    </row>
    <row r="865" spans="2:5" x14ac:dyDescent="0.25">
      <c r="B865" s="11" t="str">
        <f>IF(A865="","",'Cálculos y conversiones'!$B$14)</f>
        <v/>
      </c>
      <c r="C865" s="11" t="str">
        <f>IF(A865="","",'Cálculos y conversiones'!$B$11*Tabla!E864)</f>
        <v/>
      </c>
      <c r="D865" s="11" t="str">
        <f t="shared" si="26"/>
        <v/>
      </c>
      <c r="E865" s="11" t="str">
        <f t="shared" si="27"/>
        <v/>
      </c>
    </row>
    <row r="866" spans="2:5" x14ac:dyDescent="0.25">
      <c r="B866" s="11" t="str">
        <f>IF(A866="","",'Cálculos y conversiones'!$B$14)</f>
        <v/>
      </c>
      <c r="C866" s="11" t="str">
        <f>IF(A866="","",'Cálculos y conversiones'!$B$11*Tabla!E865)</f>
        <v/>
      </c>
      <c r="D866" s="11" t="str">
        <f t="shared" si="26"/>
        <v/>
      </c>
      <c r="E866" s="11" t="str">
        <f t="shared" si="27"/>
        <v/>
      </c>
    </row>
    <row r="867" spans="2:5" x14ac:dyDescent="0.25">
      <c r="B867" s="11" t="str">
        <f>IF(A867="","",'Cálculos y conversiones'!$B$14)</f>
        <v/>
      </c>
      <c r="C867" s="11" t="str">
        <f>IF(A867="","",'Cálculos y conversiones'!$B$11*Tabla!E866)</f>
        <v/>
      </c>
      <c r="D867" s="11" t="str">
        <f t="shared" si="26"/>
        <v/>
      </c>
      <c r="E867" s="11" t="str">
        <f t="shared" si="27"/>
        <v/>
      </c>
    </row>
    <row r="868" spans="2:5" x14ac:dyDescent="0.25">
      <c r="B868" s="11" t="str">
        <f>IF(A868="","",'Cálculos y conversiones'!$B$14)</f>
        <v/>
      </c>
      <c r="C868" s="11" t="str">
        <f>IF(A868="","",'Cálculos y conversiones'!$B$11*Tabla!E867)</f>
        <v/>
      </c>
      <c r="D868" s="11" t="str">
        <f t="shared" si="26"/>
        <v/>
      </c>
      <c r="E868" s="11" t="str">
        <f t="shared" si="27"/>
        <v/>
      </c>
    </row>
    <row r="869" spans="2:5" x14ac:dyDescent="0.25">
      <c r="B869" s="11" t="str">
        <f>IF(A869="","",'Cálculos y conversiones'!$B$14)</f>
        <v/>
      </c>
      <c r="C869" s="11" t="str">
        <f>IF(A869="","",'Cálculos y conversiones'!$B$11*Tabla!E868)</f>
        <v/>
      </c>
      <c r="D869" s="11" t="str">
        <f t="shared" si="26"/>
        <v/>
      </c>
      <c r="E869" s="11" t="str">
        <f t="shared" si="27"/>
        <v/>
      </c>
    </row>
    <row r="870" spans="2:5" x14ac:dyDescent="0.25">
      <c r="B870" s="11" t="str">
        <f>IF(A870="","",'Cálculos y conversiones'!$B$14)</f>
        <v/>
      </c>
      <c r="C870" s="11" t="str">
        <f>IF(A870="","",'Cálculos y conversiones'!$B$11*Tabla!E869)</f>
        <v/>
      </c>
      <c r="D870" s="11" t="str">
        <f t="shared" si="26"/>
        <v/>
      </c>
      <c r="E870" s="11" t="str">
        <f t="shared" si="27"/>
        <v/>
      </c>
    </row>
    <row r="871" spans="2:5" x14ac:dyDescent="0.25">
      <c r="B871" s="11" t="str">
        <f>IF(A871="","",'Cálculos y conversiones'!$B$14)</f>
        <v/>
      </c>
      <c r="C871" s="11" t="str">
        <f>IF(A871="","",'Cálculos y conversiones'!$B$11*Tabla!E870)</f>
        <v/>
      </c>
      <c r="D871" s="11" t="str">
        <f t="shared" si="26"/>
        <v/>
      </c>
      <c r="E871" s="11" t="str">
        <f t="shared" si="27"/>
        <v/>
      </c>
    </row>
    <row r="872" spans="2:5" x14ac:dyDescent="0.25">
      <c r="B872" s="11" t="str">
        <f>IF(A872="","",'Cálculos y conversiones'!$B$14)</f>
        <v/>
      </c>
      <c r="C872" s="11" t="str">
        <f>IF(A872="","",'Cálculos y conversiones'!$B$11*Tabla!E871)</f>
        <v/>
      </c>
      <c r="D872" s="11" t="str">
        <f t="shared" si="26"/>
        <v/>
      </c>
      <c r="E872" s="11" t="str">
        <f t="shared" si="27"/>
        <v/>
      </c>
    </row>
    <row r="873" spans="2:5" x14ac:dyDescent="0.25">
      <c r="B873" s="11" t="str">
        <f>IF(A873="","",'Cálculos y conversiones'!$B$14)</f>
        <v/>
      </c>
      <c r="C873" s="11" t="str">
        <f>IF(A873="","",'Cálculos y conversiones'!$B$11*Tabla!E872)</f>
        <v/>
      </c>
      <c r="D873" s="11" t="str">
        <f t="shared" si="26"/>
        <v/>
      </c>
      <c r="E873" s="11" t="str">
        <f t="shared" si="27"/>
        <v/>
      </c>
    </row>
    <row r="874" spans="2:5" x14ac:dyDescent="0.25">
      <c r="B874" s="11" t="str">
        <f>IF(A874="","",'Cálculos y conversiones'!$B$14)</f>
        <v/>
      </c>
      <c r="C874" s="11" t="str">
        <f>IF(A874="","",'Cálculos y conversiones'!$B$11*Tabla!E873)</f>
        <v/>
      </c>
      <c r="D874" s="11" t="str">
        <f t="shared" si="26"/>
        <v/>
      </c>
      <c r="E874" s="11" t="str">
        <f t="shared" si="27"/>
        <v/>
      </c>
    </row>
    <row r="875" spans="2:5" x14ac:dyDescent="0.25">
      <c r="B875" s="11" t="str">
        <f>IF(A875="","",'Cálculos y conversiones'!$B$14)</f>
        <v/>
      </c>
      <c r="C875" s="11" t="str">
        <f>IF(A875="","",'Cálculos y conversiones'!$B$11*Tabla!E874)</f>
        <v/>
      </c>
      <c r="D875" s="11" t="str">
        <f t="shared" si="26"/>
        <v/>
      </c>
      <c r="E875" s="11" t="str">
        <f t="shared" si="27"/>
        <v/>
      </c>
    </row>
    <row r="876" spans="2:5" x14ac:dyDescent="0.25">
      <c r="B876" s="11" t="str">
        <f>IF(A876="","",'Cálculos y conversiones'!$B$14)</f>
        <v/>
      </c>
      <c r="C876" s="11" t="str">
        <f>IF(A876="","",'Cálculos y conversiones'!$B$11*Tabla!E875)</f>
        <v/>
      </c>
      <c r="D876" s="11" t="str">
        <f t="shared" si="26"/>
        <v/>
      </c>
      <c r="E876" s="11" t="str">
        <f t="shared" si="27"/>
        <v/>
      </c>
    </row>
    <row r="877" spans="2:5" x14ac:dyDescent="0.25">
      <c r="B877" s="11" t="str">
        <f>IF(A877="","",'Cálculos y conversiones'!$B$14)</f>
        <v/>
      </c>
      <c r="C877" s="11" t="str">
        <f>IF(A877="","",'Cálculos y conversiones'!$B$11*Tabla!E876)</f>
        <v/>
      </c>
      <c r="D877" s="11" t="str">
        <f t="shared" si="26"/>
        <v/>
      </c>
      <c r="E877" s="11" t="str">
        <f t="shared" si="27"/>
        <v/>
      </c>
    </row>
    <row r="878" spans="2:5" x14ac:dyDescent="0.25">
      <c r="B878" s="11" t="str">
        <f>IF(A878="","",'Cálculos y conversiones'!$B$14)</f>
        <v/>
      </c>
      <c r="C878" s="11" t="str">
        <f>IF(A878="","",'Cálculos y conversiones'!$B$11*Tabla!E877)</f>
        <v/>
      </c>
      <c r="D878" s="11" t="str">
        <f t="shared" si="26"/>
        <v/>
      </c>
      <c r="E878" s="11" t="str">
        <f t="shared" si="27"/>
        <v/>
      </c>
    </row>
    <row r="879" spans="2:5" x14ac:dyDescent="0.25">
      <c r="B879" s="11" t="str">
        <f>IF(A879="","",'Cálculos y conversiones'!$B$14)</f>
        <v/>
      </c>
      <c r="C879" s="11" t="str">
        <f>IF(A879="","",'Cálculos y conversiones'!$B$11*Tabla!E878)</f>
        <v/>
      </c>
      <c r="D879" s="11" t="str">
        <f t="shared" si="26"/>
        <v/>
      </c>
      <c r="E879" s="11" t="str">
        <f t="shared" si="27"/>
        <v/>
      </c>
    </row>
    <row r="880" spans="2:5" x14ac:dyDescent="0.25">
      <c r="B880" s="11" t="str">
        <f>IF(A880="","",'Cálculos y conversiones'!$B$14)</f>
        <v/>
      </c>
      <c r="C880" s="11" t="str">
        <f>IF(A880="","",'Cálculos y conversiones'!$B$11*Tabla!E879)</f>
        <v/>
      </c>
      <c r="D880" s="11" t="str">
        <f t="shared" si="26"/>
        <v/>
      </c>
      <c r="E880" s="11" t="str">
        <f t="shared" si="27"/>
        <v/>
      </c>
    </row>
    <row r="881" spans="2:5" x14ac:dyDescent="0.25">
      <c r="B881" s="11" t="str">
        <f>IF(A881="","",'Cálculos y conversiones'!$B$14)</f>
        <v/>
      </c>
      <c r="C881" s="11" t="str">
        <f>IF(A881="","",'Cálculos y conversiones'!$B$11*Tabla!E880)</f>
        <v/>
      </c>
      <c r="D881" s="11" t="str">
        <f t="shared" si="26"/>
        <v/>
      </c>
      <c r="E881" s="11" t="str">
        <f t="shared" si="27"/>
        <v/>
      </c>
    </row>
    <row r="882" spans="2:5" x14ac:dyDescent="0.25">
      <c r="B882" s="11" t="str">
        <f>IF(A882="","",'Cálculos y conversiones'!$B$14)</f>
        <v/>
      </c>
      <c r="C882" s="11" t="str">
        <f>IF(A882="","",'Cálculos y conversiones'!$B$11*Tabla!E881)</f>
        <v/>
      </c>
      <c r="D882" s="11" t="str">
        <f t="shared" si="26"/>
        <v/>
      </c>
      <c r="E882" s="11" t="str">
        <f t="shared" si="27"/>
        <v/>
      </c>
    </row>
    <row r="883" spans="2:5" x14ac:dyDescent="0.25">
      <c r="B883" s="11" t="str">
        <f>IF(A883="","",'Cálculos y conversiones'!$B$14)</f>
        <v/>
      </c>
      <c r="C883" s="11" t="str">
        <f>IF(A883="","",'Cálculos y conversiones'!$B$11*Tabla!E882)</f>
        <v/>
      </c>
      <c r="D883" s="11" t="str">
        <f t="shared" si="26"/>
        <v/>
      </c>
      <c r="E883" s="11" t="str">
        <f t="shared" si="27"/>
        <v/>
      </c>
    </row>
    <row r="884" spans="2:5" x14ac:dyDescent="0.25">
      <c r="B884" s="11" t="str">
        <f>IF(A884="","",'Cálculos y conversiones'!$B$14)</f>
        <v/>
      </c>
      <c r="C884" s="11" t="str">
        <f>IF(A884="","",'Cálculos y conversiones'!$B$11*Tabla!E883)</f>
        <v/>
      </c>
      <c r="D884" s="11" t="str">
        <f t="shared" si="26"/>
        <v/>
      </c>
      <c r="E884" s="11" t="str">
        <f t="shared" si="27"/>
        <v/>
      </c>
    </row>
    <row r="885" spans="2:5" x14ac:dyDescent="0.25">
      <c r="B885" s="11" t="str">
        <f>IF(A885="","",'Cálculos y conversiones'!$B$14)</f>
        <v/>
      </c>
      <c r="C885" s="11" t="str">
        <f>IF(A885="","",'Cálculos y conversiones'!$B$11*Tabla!E884)</f>
        <v/>
      </c>
      <c r="D885" s="11" t="str">
        <f t="shared" si="26"/>
        <v/>
      </c>
      <c r="E885" s="11" t="str">
        <f t="shared" si="27"/>
        <v/>
      </c>
    </row>
    <row r="886" spans="2:5" x14ac:dyDescent="0.25">
      <c r="B886" s="11" t="str">
        <f>IF(A886="","",'Cálculos y conversiones'!$B$14)</f>
        <v/>
      </c>
      <c r="C886" s="11" t="str">
        <f>IF(A886="","",'Cálculos y conversiones'!$B$11*Tabla!E885)</f>
        <v/>
      </c>
      <c r="D886" s="11" t="str">
        <f t="shared" si="26"/>
        <v/>
      </c>
      <c r="E886" s="11" t="str">
        <f t="shared" si="27"/>
        <v/>
      </c>
    </row>
    <row r="887" spans="2:5" x14ac:dyDescent="0.25">
      <c r="B887" s="11" t="str">
        <f>IF(A887="","",'Cálculos y conversiones'!$B$14)</f>
        <v/>
      </c>
      <c r="C887" s="11" t="str">
        <f>IF(A887="","",'Cálculos y conversiones'!$B$11*Tabla!E886)</f>
        <v/>
      </c>
      <c r="D887" s="11" t="str">
        <f t="shared" si="26"/>
        <v/>
      </c>
      <c r="E887" s="11" t="str">
        <f t="shared" si="27"/>
        <v/>
      </c>
    </row>
    <row r="888" spans="2:5" x14ac:dyDescent="0.25">
      <c r="B888" s="11" t="str">
        <f>IF(A888="","",'Cálculos y conversiones'!$B$14)</f>
        <v/>
      </c>
      <c r="C888" s="11" t="str">
        <f>IF(A888="","",'Cálculos y conversiones'!$B$11*Tabla!E887)</f>
        <v/>
      </c>
      <c r="D888" s="11" t="str">
        <f t="shared" si="26"/>
        <v/>
      </c>
      <c r="E888" s="11" t="str">
        <f t="shared" si="27"/>
        <v/>
      </c>
    </row>
    <row r="889" spans="2:5" x14ac:dyDescent="0.25">
      <c r="B889" s="11" t="str">
        <f>IF(A889="","",'Cálculos y conversiones'!$B$14)</f>
        <v/>
      </c>
      <c r="C889" s="11" t="str">
        <f>IF(A889="","",'Cálculos y conversiones'!$B$11*Tabla!E888)</f>
        <v/>
      </c>
      <c r="D889" s="11" t="str">
        <f t="shared" si="26"/>
        <v/>
      </c>
      <c r="E889" s="11" t="str">
        <f t="shared" si="27"/>
        <v/>
      </c>
    </row>
    <row r="890" spans="2:5" x14ac:dyDescent="0.25">
      <c r="B890" s="11" t="str">
        <f>IF(A890="","",'Cálculos y conversiones'!$B$14)</f>
        <v/>
      </c>
      <c r="C890" s="11" t="str">
        <f>IF(A890="","",'Cálculos y conversiones'!$B$11*Tabla!E889)</f>
        <v/>
      </c>
      <c r="D890" s="11" t="str">
        <f t="shared" si="26"/>
        <v/>
      </c>
      <c r="E890" s="11" t="str">
        <f t="shared" si="27"/>
        <v/>
      </c>
    </row>
    <row r="891" spans="2:5" x14ac:dyDescent="0.25">
      <c r="B891" s="11" t="str">
        <f>IF(A891="","",'Cálculos y conversiones'!$B$14)</f>
        <v/>
      </c>
      <c r="C891" s="11" t="str">
        <f>IF(A891="","",'Cálculos y conversiones'!$B$11*Tabla!E890)</f>
        <v/>
      </c>
      <c r="D891" s="11" t="str">
        <f t="shared" si="26"/>
        <v/>
      </c>
      <c r="E891" s="11" t="str">
        <f t="shared" si="27"/>
        <v/>
      </c>
    </row>
    <row r="892" spans="2:5" x14ac:dyDescent="0.25">
      <c r="B892" s="11" t="str">
        <f>IF(A892="","",'Cálculos y conversiones'!$B$14)</f>
        <v/>
      </c>
      <c r="C892" s="11" t="str">
        <f>IF(A892="","",'Cálculos y conversiones'!$B$11*Tabla!E891)</f>
        <v/>
      </c>
      <c r="D892" s="11" t="str">
        <f t="shared" si="26"/>
        <v/>
      </c>
      <c r="E892" s="11" t="str">
        <f t="shared" si="27"/>
        <v/>
      </c>
    </row>
    <row r="893" spans="2:5" x14ac:dyDescent="0.25">
      <c r="B893" s="11" t="str">
        <f>IF(A893="","",'Cálculos y conversiones'!$B$14)</f>
        <v/>
      </c>
      <c r="C893" s="11" t="str">
        <f>IF(A893="","",'Cálculos y conversiones'!$B$11*Tabla!E892)</f>
        <v/>
      </c>
      <c r="D893" s="11" t="str">
        <f t="shared" si="26"/>
        <v/>
      </c>
      <c r="E893" s="11" t="str">
        <f t="shared" si="27"/>
        <v/>
      </c>
    </row>
    <row r="894" spans="2:5" x14ac:dyDescent="0.25">
      <c r="B894" s="11" t="str">
        <f>IF(A894="","",'Cálculos y conversiones'!$B$14)</f>
        <v/>
      </c>
      <c r="C894" s="11" t="str">
        <f>IF(A894="","",'Cálculos y conversiones'!$B$11*Tabla!E893)</f>
        <v/>
      </c>
      <c r="D894" s="11" t="str">
        <f t="shared" si="26"/>
        <v/>
      </c>
      <c r="E894" s="11" t="str">
        <f t="shared" si="27"/>
        <v/>
      </c>
    </row>
    <row r="895" spans="2:5" x14ac:dyDescent="0.25">
      <c r="B895" s="11" t="str">
        <f>IF(A895="","",'Cálculos y conversiones'!$B$14)</f>
        <v/>
      </c>
      <c r="C895" s="11" t="str">
        <f>IF(A895="","",'Cálculos y conversiones'!$B$11*Tabla!E894)</f>
        <v/>
      </c>
      <c r="D895" s="11" t="str">
        <f t="shared" si="26"/>
        <v/>
      </c>
      <c r="E895" s="11" t="str">
        <f t="shared" si="27"/>
        <v/>
      </c>
    </row>
    <row r="896" spans="2:5" x14ac:dyDescent="0.25">
      <c r="B896" s="11" t="str">
        <f>IF(A896="","",'Cálculos y conversiones'!$B$14)</f>
        <v/>
      </c>
      <c r="C896" s="11" t="str">
        <f>IF(A896="","",'Cálculos y conversiones'!$B$11*Tabla!E895)</f>
        <v/>
      </c>
      <c r="D896" s="11" t="str">
        <f t="shared" si="26"/>
        <v/>
      </c>
      <c r="E896" s="11" t="str">
        <f t="shared" si="27"/>
        <v/>
      </c>
    </row>
    <row r="897" spans="2:5" x14ac:dyDescent="0.25">
      <c r="B897" s="11" t="str">
        <f>IF(A897="","",'Cálculos y conversiones'!$B$14)</f>
        <v/>
      </c>
      <c r="C897" s="11" t="str">
        <f>IF(A897="","",'Cálculos y conversiones'!$B$11*Tabla!E896)</f>
        <v/>
      </c>
      <c r="D897" s="11" t="str">
        <f t="shared" si="26"/>
        <v/>
      </c>
      <c r="E897" s="11" t="str">
        <f t="shared" si="27"/>
        <v/>
      </c>
    </row>
    <row r="898" spans="2:5" x14ac:dyDescent="0.25">
      <c r="B898" s="11" t="str">
        <f>IF(A898="","",'Cálculos y conversiones'!$B$14)</f>
        <v/>
      </c>
      <c r="C898" s="11" t="str">
        <f>IF(A898="","",'Cálculos y conversiones'!$B$11*Tabla!E897)</f>
        <v/>
      </c>
      <c r="D898" s="11" t="str">
        <f t="shared" si="26"/>
        <v/>
      </c>
      <c r="E898" s="11" t="str">
        <f t="shared" si="27"/>
        <v/>
      </c>
    </row>
    <row r="899" spans="2:5" x14ac:dyDescent="0.25">
      <c r="B899" s="11" t="str">
        <f>IF(A899="","",'Cálculos y conversiones'!$B$14)</f>
        <v/>
      </c>
      <c r="C899" s="11" t="str">
        <f>IF(A899="","",'Cálculos y conversiones'!$B$11*Tabla!E898)</f>
        <v/>
      </c>
      <c r="D899" s="11" t="str">
        <f t="shared" si="26"/>
        <v/>
      </c>
      <c r="E899" s="11" t="str">
        <f t="shared" si="27"/>
        <v/>
      </c>
    </row>
    <row r="900" spans="2:5" x14ac:dyDescent="0.25">
      <c r="B900" s="11" t="str">
        <f>IF(A900="","",'Cálculos y conversiones'!$B$14)</f>
        <v/>
      </c>
      <c r="C900" s="11" t="str">
        <f>IF(A900="","",'Cálculos y conversiones'!$B$11*Tabla!E899)</f>
        <v/>
      </c>
      <c r="D900" s="11" t="str">
        <f t="shared" si="26"/>
        <v/>
      </c>
      <c r="E900" s="11" t="str">
        <f t="shared" si="27"/>
        <v/>
      </c>
    </row>
    <row r="901" spans="2:5" x14ac:dyDescent="0.25">
      <c r="B901" s="11" t="str">
        <f>IF(A901="","",'Cálculos y conversiones'!$B$14)</f>
        <v/>
      </c>
      <c r="C901" s="11" t="str">
        <f>IF(A901="","",'Cálculos y conversiones'!$B$11*Tabla!E900)</f>
        <v/>
      </c>
      <c r="D901" s="11" t="str">
        <f t="shared" si="26"/>
        <v/>
      </c>
      <c r="E901" s="11" t="str">
        <f t="shared" si="27"/>
        <v/>
      </c>
    </row>
    <row r="902" spans="2:5" x14ac:dyDescent="0.25">
      <c r="B902" s="11" t="str">
        <f>IF(A902="","",'Cálculos y conversiones'!$B$14)</f>
        <v/>
      </c>
      <c r="C902" s="11" t="str">
        <f>IF(A902="","",'Cálculos y conversiones'!$B$11*Tabla!E901)</f>
        <v/>
      </c>
      <c r="D902" s="11" t="str">
        <f t="shared" si="26"/>
        <v/>
      </c>
      <c r="E902" s="11" t="str">
        <f t="shared" si="27"/>
        <v/>
      </c>
    </row>
    <row r="903" spans="2:5" x14ac:dyDescent="0.25">
      <c r="B903" s="11" t="str">
        <f>IF(A903="","",'Cálculos y conversiones'!$B$14)</f>
        <v/>
      </c>
      <c r="C903" s="11" t="str">
        <f>IF(A903="","",'Cálculos y conversiones'!$B$11*Tabla!E902)</f>
        <v/>
      </c>
      <c r="D903" s="11" t="str">
        <f t="shared" si="26"/>
        <v/>
      </c>
      <c r="E903" s="11" t="str">
        <f t="shared" si="27"/>
        <v/>
      </c>
    </row>
    <row r="904" spans="2:5" x14ac:dyDescent="0.25">
      <c r="B904" s="11" t="str">
        <f>IF(A904="","",'Cálculos y conversiones'!$B$14)</f>
        <v/>
      </c>
      <c r="C904" s="11" t="str">
        <f>IF(A904="","",'Cálculos y conversiones'!$B$11*Tabla!E903)</f>
        <v/>
      </c>
      <c r="D904" s="11" t="str">
        <f t="shared" si="26"/>
        <v/>
      </c>
      <c r="E904" s="11" t="str">
        <f t="shared" si="27"/>
        <v/>
      </c>
    </row>
    <row r="905" spans="2:5" x14ac:dyDescent="0.25">
      <c r="B905" s="11" t="str">
        <f>IF(A905="","",'Cálculos y conversiones'!$B$14)</f>
        <v/>
      </c>
      <c r="C905" s="11" t="str">
        <f>IF(A905="","",'Cálculos y conversiones'!$B$11*Tabla!E904)</f>
        <v/>
      </c>
      <c r="D905" s="11" t="str">
        <f t="shared" si="26"/>
        <v/>
      </c>
      <c r="E905" s="11" t="str">
        <f t="shared" si="27"/>
        <v/>
      </c>
    </row>
    <row r="906" spans="2:5" x14ac:dyDescent="0.25">
      <c r="B906" s="11" t="str">
        <f>IF(A906="","",'Cálculos y conversiones'!$B$14)</f>
        <v/>
      </c>
      <c r="C906" s="11" t="str">
        <f>IF(A906="","",'Cálculos y conversiones'!$B$11*Tabla!E905)</f>
        <v/>
      </c>
      <c r="D906" s="11" t="str">
        <f t="shared" ref="D906:D969" si="28">IF(A906="","",B906-C906)</f>
        <v/>
      </c>
      <c r="E906" s="11" t="str">
        <f t="shared" ref="E906:E969" si="29">IF(A906="","",E905-D906)</f>
        <v/>
      </c>
    </row>
    <row r="907" spans="2:5" x14ac:dyDescent="0.25">
      <c r="B907" s="11" t="str">
        <f>IF(A907="","",'Cálculos y conversiones'!$B$14)</f>
        <v/>
      </c>
      <c r="C907" s="11" t="str">
        <f>IF(A907="","",'Cálculos y conversiones'!$B$11*Tabla!E906)</f>
        <v/>
      </c>
      <c r="D907" s="11" t="str">
        <f t="shared" si="28"/>
        <v/>
      </c>
      <c r="E907" s="11" t="str">
        <f t="shared" si="29"/>
        <v/>
      </c>
    </row>
    <row r="908" spans="2:5" x14ac:dyDescent="0.25">
      <c r="B908" s="11" t="str">
        <f>IF(A908="","",'Cálculos y conversiones'!$B$14)</f>
        <v/>
      </c>
      <c r="C908" s="11" t="str">
        <f>IF(A908="","",'Cálculos y conversiones'!$B$11*Tabla!E907)</f>
        <v/>
      </c>
      <c r="D908" s="11" t="str">
        <f t="shared" si="28"/>
        <v/>
      </c>
      <c r="E908" s="11" t="str">
        <f t="shared" si="29"/>
        <v/>
      </c>
    </row>
    <row r="909" spans="2:5" x14ac:dyDescent="0.25">
      <c r="B909" s="11" t="str">
        <f>IF(A909="","",'Cálculos y conversiones'!$B$14)</f>
        <v/>
      </c>
      <c r="C909" s="11" t="str">
        <f>IF(A909="","",'Cálculos y conversiones'!$B$11*Tabla!E908)</f>
        <v/>
      </c>
      <c r="D909" s="11" t="str">
        <f t="shared" si="28"/>
        <v/>
      </c>
      <c r="E909" s="11" t="str">
        <f t="shared" si="29"/>
        <v/>
      </c>
    </row>
    <row r="910" spans="2:5" x14ac:dyDescent="0.25">
      <c r="B910" s="11" t="str">
        <f>IF(A910="","",'Cálculos y conversiones'!$B$14)</f>
        <v/>
      </c>
      <c r="C910" s="11" t="str">
        <f>IF(A910="","",'Cálculos y conversiones'!$B$11*Tabla!E909)</f>
        <v/>
      </c>
      <c r="D910" s="11" t="str">
        <f t="shared" si="28"/>
        <v/>
      </c>
      <c r="E910" s="11" t="str">
        <f t="shared" si="29"/>
        <v/>
      </c>
    </row>
    <row r="911" spans="2:5" x14ac:dyDescent="0.25">
      <c r="B911" s="11" t="str">
        <f>IF(A911="","",'Cálculos y conversiones'!$B$14)</f>
        <v/>
      </c>
      <c r="C911" s="11" t="str">
        <f>IF(A911="","",'Cálculos y conversiones'!$B$11*Tabla!E910)</f>
        <v/>
      </c>
      <c r="D911" s="11" t="str">
        <f t="shared" si="28"/>
        <v/>
      </c>
      <c r="E911" s="11" t="str">
        <f t="shared" si="29"/>
        <v/>
      </c>
    </row>
    <row r="912" spans="2:5" x14ac:dyDescent="0.25">
      <c r="B912" s="11" t="str">
        <f>IF(A912="","",'Cálculos y conversiones'!$B$14)</f>
        <v/>
      </c>
      <c r="C912" s="11" t="str">
        <f>IF(A912="","",'Cálculos y conversiones'!$B$11*Tabla!E911)</f>
        <v/>
      </c>
      <c r="D912" s="11" t="str">
        <f t="shared" si="28"/>
        <v/>
      </c>
      <c r="E912" s="11" t="str">
        <f t="shared" si="29"/>
        <v/>
      </c>
    </row>
    <row r="913" spans="2:5" x14ac:dyDescent="0.25">
      <c r="B913" s="11" t="str">
        <f>IF(A913="","",'Cálculos y conversiones'!$B$14)</f>
        <v/>
      </c>
      <c r="C913" s="11" t="str">
        <f>IF(A913="","",'Cálculos y conversiones'!$B$11*Tabla!E912)</f>
        <v/>
      </c>
      <c r="D913" s="11" t="str">
        <f t="shared" si="28"/>
        <v/>
      </c>
      <c r="E913" s="11" t="str">
        <f t="shared" si="29"/>
        <v/>
      </c>
    </row>
    <row r="914" spans="2:5" x14ac:dyDescent="0.25">
      <c r="B914" s="11" t="str">
        <f>IF(A914="","",'Cálculos y conversiones'!$B$14)</f>
        <v/>
      </c>
      <c r="C914" s="11" t="str">
        <f>IF(A914="","",'Cálculos y conversiones'!$B$11*Tabla!E913)</f>
        <v/>
      </c>
      <c r="D914" s="11" t="str">
        <f t="shared" si="28"/>
        <v/>
      </c>
      <c r="E914" s="11" t="str">
        <f t="shared" si="29"/>
        <v/>
      </c>
    </row>
    <row r="915" spans="2:5" x14ac:dyDescent="0.25">
      <c r="B915" s="11" t="str">
        <f>IF(A915="","",'Cálculos y conversiones'!$B$14)</f>
        <v/>
      </c>
      <c r="C915" s="11" t="str">
        <f>IF(A915="","",'Cálculos y conversiones'!$B$11*Tabla!E914)</f>
        <v/>
      </c>
      <c r="D915" s="11" t="str">
        <f t="shared" si="28"/>
        <v/>
      </c>
      <c r="E915" s="11" t="str">
        <f t="shared" si="29"/>
        <v/>
      </c>
    </row>
    <row r="916" spans="2:5" x14ac:dyDescent="0.25">
      <c r="B916" s="11" t="str">
        <f>IF(A916="","",'Cálculos y conversiones'!$B$14)</f>
        <v/>
      </c>
      <c r="C916" s="11" t="str">
        <f>IF(A916="","",'Cálculos y conversiones'!$B$11*Tabla!E915)</f>
        <v/>
      </c>
      <c r="D916" s="11" t="str">
        <f t="shared" si="28"/>
        <v/>
      </c>
      <c r="E916" s="11" t="str">
        <f t="shared" si="29"/>
        <v/>
      </c>
    </row>
    <row r="917" spans="2:5" x14ac:dyDescent="0.25">
      <c r="B917" s="11" t="str">
        <f>IF(A917="","",'Cálculos y conversiones'!$B$14)</f>
        <v/>
      </c>
      <c r="C917" s="11" t="str">
        <f>IF(A917="","",'Cálculos y conversiones'!$B$11*Tabla!E916)</f>
        <v/>
      </c>
      <c r="D917" s="11" t="str">
        <f t="shared" si="28"/>
        <v/>
      </c>
      <c r="E917" s="11" t="str">
        <f t="shared" si="29"/>
        <v/>
      </c>
    </row>
    <row r="918" spans="2:5" x14ac:dyDescent="0.25">
      <c r="B918" s="11" t="str">
        <f>IF(A918="","",'Cálculos y conversiones'!$B$14)</f>
        <v/>
      </c>
      <c r="C918" s="11" t="str">
        <f>IF(A918="","",'Cálculos y conversiones'!$B$11*Tabla!E917)</f>
        <v/>
      </c>
      <c r="D918" s="11" t="str">
        <f t="shared" si="28"/>
        <v/>
      </c>
      <c r="E918" s="11" t="str">
        <f t="shared" si="29"/>
        <v/>
      </c>
    </row>
    <row r="919" spans="2:5" x14ac:dyDescent="0.25">
      <c r="B919" s="4" t="str">
        <f>IF(A919="","",'Cálculos y conversiones'!$B$14)</f>
        <v/>
      </c>
      <c r="C919" s="4" t="str">
        <f>IF(A919="","",'Cálculos y conversiones'!$B$11*Tabla!E918)</f>
        <v/>
      </c>
      <c r="D919" s="4" t="str">
        <f t="shared" si="28"/>
        <v/>
      </c>
      <c r="E919" s="4" t="str">
        <f t="shared" si="29"/>
        <v/>
      </c>
    </row>
    <row r="920" spans="2:5" x14ac:dyDescent="0.25">
      <c r="B920" s="4" t="str">
        <f>IF(A920="","",'Cálculos y conversiones'!$B$14)</f>
        <v/>
      </c>
      <c r="C920" s="4" t="str">
        <f>IF(A920="","",'Cálculos y conversiones'!$B$11*Tabla!E919)</f>
        <v/>
      </c>
      <c r="D920" s="4" t="str">
        <f t="shared" si="28"/>
        <v/>
      </c>
      <c r="E920" s="4" t="str">
        <f t="shared" si="29"/>
        <v/>
      </c>
    </row>
    <row r="921" spans="2:5" x14ac:dyDescent="0.25">
      <c r="B921" s="4" t="str">
        <f>IF(A921="","",'Cálculos y conversiones'!$B$14)</f>
        <v/>
      </c>
      <c r="C921" s="4" t="str">
        <f>IF(A921="","",'Cálculos y conversiones'!$B$11*Tabla!E920)</f>
        <v/>
      </c>
      <c r="D921" s="4" t="str">
        <f t="shared" si="28"/>
        <v/>
      </c>
      <c r="E921" s="4" t="str">
        <f t="shared" si="29"/>
        <v/>
      </c>
    </row>
    <row r="922" spans="2:5" x14ac:dyDescent="0.25">
      <c r="B922" s="4" t="str">
        <f>IF(A922="","",'Cálculos y conversiones'!$B$14)</f>
        <v/>
      </c>
      <c r="C922" s="4" t="str">
        <f>IF(A922="","",'Cálculos y conversiones'!$B$11*Tabla!E921)</f>
        <v/>
      </c>
      <c r="D922" s="4" t="str">
        <f t="shared" si="28"/>
        <v/>
      </c>
      <c r="E922" s="4" t="str">
        <f t="shared" si="29"/>
        <v/>
      </c>
    </row>
    <row r="923" spans="2:5" x14ac:dyDescent="0.25">
      <c r="B923" s="4" t="str">
        <f>IF(A923="","",'Cálculos y conversiones'!$B$14)</f>
        <v/>
      </c>
      <c r="C923" s="4" t="str">
        <f>IF(A923="","",'Cálculos y conversiones'!$B$11*Tabla!E922)</f>
        <v/>
      </c>
      <c r="D923" s="4" t="str">
        <f t="shared" si="28"/>
        <v/>
      </c>
      <c r="E923" s="4" t="str">
        <f t="shared" si="29"/>
        <v/>
      </c>
    </row>
    <row r="924" spans="2:5" x14ac:dyDescent="0.25">
      <c r="B924" s="4" t="str">
        <f>IF(A924="","",'Cálculos y conversiones'!$B$14)</f>
        <v/>
      </c>
      <c r="C924" s="4" t="str">
        <f>IF(A924="","",'Cálculos y conversiones'!$B$11*Tabla!E923)</f>
        <v/>
      </c>
      <c r="D924" s="4" t="str">
        <f t="shared" si="28"/>
        <v/>
      </c>
      <c r="E924" s="4" t="str">
        <f t="shared" si="29"/>
        <v/>
      </c>
    </row>
    <row r="925" spans="2:5" x14ac:dyDescent="0.25">
      <c r="B925" s="4" t="str">
        <f>IF(A925="","",'Cálculos y conversiones'!$B$14)</f>
        <v/>
      </c>
      <c r="C925" s="4" t="str">
        <f>IF(A925="","",'Cálculos y conversiones'!$B$11*Tabla!E924)</f>
        <v/>
      </c>
      <c r="D925" s="4" t="str">
        <f t="shared" si="28"/>
        <v/>
      </c>
      <c r="E925" s="4" t="str">
        <f t="shared" si="29"/>
        <v/>
      </c>
    </row>
    <row r="926" spans="2:5" x14ac:dyDescent="0.25">
      <c r="B926" s="4" t="str">
        <f>IF(A926="","",'Cálculos y conversiones'!$B$14)</f>
        <v/>
      </c>
      <c r="C926" s="4" t="str">
        <f>IF(A926="","",'Cálculos y conversiones'!$B$11*Tabla!E925)</f>
        <v/>
      </c>
      <c r="D926" s="4" t="str">
        <f t="shared" si="28"/>
        <v/>
      </c>
      <c r="E926" s="4" t="str">
        <f t="shared" si="29"/>
        <v/>
      </c>
    </row>
    <row r="927" spans="2:5" x14ac:dyDescent="0.25">
      <c r="B927" s="4" t="str">
        <f>IF(A927="","",'Cálculos y conversiones'!$B$14)</f>
        <v/>
      </c>
      <c r="C927" s="4" t="str">
        <f>IF(A927="","",'Cálculos y conversiones'!$B$11*Tabla!E926)</f>
        <v/>
      </c>
      <c r="D927" s="4" t="str">
        <f t="shared" si="28"/>
        <v/>
      </c>
      <c r="E927" s="4" t="str">
        <f t="shared" si="29"/>
        <v/>
      </c>
    </row>
    <row r="928" spans="2:5" x14ac:dyDescent="0.25">
      <c r="B928" s="4" t="str">
        <f>IF(A928="","",'Cálculos y conversiones'!$B$14)</f>
        <v/>
      </c>
      <c r="C928" s="4" t="str">
        <f>IF(A928="","",'Cálculos y conversiones'!$B$11*Tabla!E927)</f>
        <v/>
      </c>
      <c r="D928" s="4" t="str">
        <f t="shared" si="28"/>
        <v/>
      </c>
      <c r="E928" s="4" t="str">
        <f t="shared" si="29"/>
        <v/>
      </c>
    </row>
    <row r="929" spans="2:5" x14ac:dyDescent="0.25">
      <c r="B929" s="4" t="str">
        <f>IF(A929="","",'Cálculos y conversiones'!$B$14)</f>
        <v/>
      </c>
      <c r="C929" s="4" t="str">
        <f>IF(A929="","",'Cálculos y conversiones'!$B$11*Tabla!E928)</f>
        <v/>
      </c>
      <c r="D929" s="4" t="str">
        <f t="shared" si="28"/>
        <v/>
      </c>
      <c r="E929" s="4" t="str">
        <f t="shared" si="29"/>
        <v/>
      </c>
    </row>
    <row r="930" spans="2:5" x14ac:dyDescent="0.25">
      <c r="B930" s="4" t="str">
        <f>IF(A930="","",'Cálculos y conversiones'!$B$14)</f>
        <v/>
      </c>
      <c r="C930" s="4" t="str">
        <f>IF(A930="","",'Cálculos y conversiones'!$B$11*Tabla!E929)</f>
        <v/>
      </c>
      <c r="D930" s="4" t="str">
        <f t="shared" si="28"/>
        <v/>
      </c>
      <c r="E930" s="4" t="str">
        <f t="shared" si="29"/>
        <v/>
      </c>
    </row>
    <row r="931" spans="2:5" x14ac:dyDescent="0.25">
      <c r="B931" s="4" t="str">
        <f>IF(A931="","",'Cálculos y conversiones'!$B$14)</f>
        <v/>
      </c>
      <c r="C931" s="4" t="str">
        <f>IF(A931="","",'Cálculos y conversiones'!$B$11*Tabla!E930)</f>
        <v/>
      </c>
      <c r="D931" s="4" t="str">
        <f t="shared" si="28"/>
        <v/>
      </c>
      <c r="E931" s="4" t="str">
        <f t="shared" si="29"/>
        <v/>
      </c>
    </row>
    <row r="932" spans="2:5" x14ac:dyDescent="0.25">
      <c r="B932" s="4" t="str">
        <f>IF(A932="","",'Cálculos y conversiones'!$B$14)</f>
        <v/>
      </c>
      <c r="C932" s="4" t="str">
        <f>IF(A932="","",'Cálculos y conversiones'!$B$11*Tabla!E931)</f>
        <v/>
      </c>
      <c r="D932" s="4" t="str">
        <f t="shared" si="28"/>
        <v/>
      </c>
      <c r="E932" s="4" t="str">
        <f t="shared" si="29"/>
        <v/>
      </c>
    </row>
    <row r="933" spans="2:5" x14ac:dyDescent="0.25">
      <c r="B933" s="4" t="str">
        <f>IF(A933="","",'Cálculos y conversiones'!$B$14)</f>
        <v/>
      </c>
      <c r="C933" s="4" t="str">
        <f>IF(A933="","",'Cálculos y conversiones'!$B$11*Tabla!E932)</f>
        <v/>
      </c>
      <c r="D933" s="4" t="str">
        <f t="shared" si="28"/>
        <v/>
      </c>
      <c r="E933" s="4" t="str">
        <f t="shared" si="29"/>
        <v/>
      </c>
    </row>
    <row r="934" spans="2:5" x14ac:dyDescent="0.25">
      <c r="B934" s="4" t="str">
        <f>IF(A934="","",'Cálculos y conversiones'!$B$14)</f>
        <v/>
      </c>
      <c r="C934" s="4" t="str">
        <f>IF(A934="","",'Cálculos y conversiones'!$B$11*Tabla!E933)</f>
        <v/>
      </c>
      <c r="D934" s="4" t="str">
        <f t="shared" si="28"/>
        <v/>
      </c>
      <c r="E934" s="4" t="str">
        <f t="shared" si="29"/>
        <v/>
      </c>
    </row>
    <row r="935" spans="2:5" x14ac:dyDescent="0.25">
      <c r="B935" s="4" t="str">
        <f>IF(A935="","",'Cálculos y conversiones'!$B$14)</f>
        <v/>
      </c>
      <c r="C935" s="4" t="str">
        <f>IF(A935="","",'Cálculos y conversiones'!$B$11*Tabla!E934)</f>
        <v/>
      </c>
      <c r="D935" s="4" t="str">
        <f t="shared" si="28"/>
        <v/>
      </c>
      <c r="E935" s="4" t="str">
        <f t="shared" si="29"/>
        <v/>
      </c>
    </row>
    <row r="936" spans="2:5" x14ac:dyDescent="0.25">
      <c r="B936" s="4" t="str">
        <f>IF(A936="","",'Cálculos y conversiones'!$B$14)</f>
        <v/>
      </c>
      <c r="C936" s="4" t="str">
        <f>IF(A936="","",'Cálculos y conversiones'!$B$11*Tabla!E935)</f>
        <v/>
      </c>
      <c r="D936" s="4" t="str">
        <f t="shared" si="28"/>
        <v/>
      </c>
      <c r="E936" s="4" t="str">
        <f t="shared" si="29"/>
        <v/>
      </c>
    </row>
    <row r="937" spans="2:5" x14ac:dyDescent="0.25">
      <c r="B937" s="4" t="str">
        <f>IF(A937="","",'Cálculos y conversiones'!$B$14)</f>
        <v/>
      </c>
      <c r="C937" s="4" t="str">
        <f>IF(A937="","",'Cálculos y conversiones'!$B$11*Tabla!E936)</f>
        <v/>
      </c>
      <c r="D937" s="4" t="str">
        <f t="shared" si="28"/>
        <v/>
      </c>
      <c r="E937" s="4" t="str">
        <f t="shared" si="29"/>
        <v/>
      </c>
    </row>
    <row r="938" spans="2:5" x14ac:dyDescent="0.25">
      <c r="B938" s="4" t="str">
        <f>IF(A938="","",'Cálculos y conversiones'!$B$14)</f>
        <v/>
      </c>
      <c r="C938" s="4" t="str">
        <f>IF(A938="","",'Cálculos y conversiones'!$B$11*Tabla!E937)</f>
        <v/>
      </c>
      <c r="D938" s="4" t="str">
        <f t="shared" si="28"/>
        <v/>
      </c>
      <c r="E938" s="4" t="str">
        <f t="shared" si="29"/>
        <v/>
      </c>
    </row>
    <row r="939" spans="2:5" x14ac:dyDescent="0.25">
      <c r="B939" s="4" t="str">
        <f>IF(A939="","",'Cálculos y conversiones'!$B$14)</f>
        <v/>
      </c>
      <c r="C939" s="4" t="str">
        <f>IF(A939="","",'Cálculos y conversiones'!$B$11*Tabla!E938)</f>
        <v/>
      </c>
      <c r="D939" s="4" t="str">
        <f t="shared" si="28"/>
        <v/>
      </c>
      <c r="E939" s="4" t="str">
        <f t="shared" si="29"/>
        <v/>
      </c>
    </row>
    <row r="940" spans="2:5" x14ac:dyDescent="0.25">
      <c r="B940" s="4" t="str">
        <f>IF(A940="","",'Cálculos y conversiones'!$B$14)</f>
        <v/>
      </c>
      <c r="C940" s="4" t="str">
        <f>IF(A940="","",'Cálculos y conversiones'!$B$11*Tabla!E939)</f>
        <v/>
      </c>
      <c r="D940" s="4" t="str">
        <f t="shared" si="28"/>
        <v/>
      </c>
      <c r="E940" s="4" t="str">
        <f t="shared" si="29"/>
        <v/>
      </c>
    </row>
    <row r="941" spans="2:5" x14ac:dyDescent="0.25">
      <c r="B941" s="4" t="str">
        <f>IF(A941="","",'Cálculos y conversiones'!$B$14)</f>
        <v/>
      </c>
      <c r="C941" s="4" t="str">
        <f>IF(A941="","",'Cálculos y conversiones'!$B$11*Tabla!E940)</f>
        <v/>
      </c>
      <c r="D941" s="4" t="str">
        <f t="shared" si="28"/>
        <v/>
      </c>
      <c r="E941" s="4" t="str">
        <f t="shared" si="29"/>
        <v/>
      </c>
    </row>
    <row r="942" spans="2:5" x14ac:dyDescent="0.25">
      <c r="B942" s="4" t="str">
        <f>IF(A942="","",'Cálculos y conversiones'!$B$14)</f>
        <v/>
      </c>
      <c r="C942" s="4" t="str">
        <f>IF(A942="","",'Cálculos y conversiones'!$B$11*Tabla!E941)</f>
        <v/>
      </c>
      <c r="D942" s="4" t="str">
        <f t="shared" si="28"/>
        <v/>
      </c>
      <c r="E942" s="4" t="str">
        <f t="shared" si="29"/>
        <v/>
      </c>
    </row>
    <row r="943" spans="2:5" x14ac:dyDescent="0.25">
      <c r="B943" s="4" t="str">
        <f>IF(A943="","",'Cálculos y conversiones'!$B$14)</f>
        <v/>
      </c>
      <c r="C943" s="4" t="str">
        <f>IF(A943="","",'Cálculos y conversiones'!$B$11*Tabla!E942)</f>
        <v/>
      </c>
      <c r="D943" s="4" t="str">
        <f t="shared" si="28"/>
        <v/>
      </c>
      <c r="E943" s="4" t="str">
        <f t="shared" si="29"/>
        <v/>
      </c>
    </row>
    <row r="944" spans="2:5" x14ac:dyDescent="0.25">
      <c r="B944" s="4" t="str">
        <f>IF(A944="","",'Cálculos y conversiones'!$B$14)</f>
        <v/>
      </c>
      <c r="C944" s="4" t="str">
        <f>IF(A944="","",'Cálculos y conversiones'!$B$11*Tabla!E943)</f>
        <v/>
      </c>
      <c r="D944" s="4" t="str">
        <f t="shared" si="28"/>
        <v/>
      </c>
      <c r="E944" s="4" t="str">
        <f t="shared" si="29"/>
        <v/>
      </c>
    </row>
    <row r="945" spans="2:5" x14ac:dyDescent="0.25">
      <c r="B945" s="4" t="str">
        <f>IF(A945="","",'Cálculos y conversiones'!$B$14)</f>
        <v/>
      </c>
      <c r="C945" s="4" t="str">
        <f>IF(A945="","",'Cálculos y conversiones'!$B$11*Tabla!E944)</f>
        <v/>
      </c>
      <c r="D945" s="4" t="str">
        <f t="shared" si="28"/>
        <v/>
      </c>
      <c r="E945" s="4" t="str">
        <f t="shared" si="29"/>
        <v/>
      </c>
    </row>
    <row r="946" spans="2:5" x14ac:dyDescent="0.25">
      <c r="B946" s="4" t="str">
        <f>IF(A946="","",'Cálculos y conversiones'!$B$14)</f>
        <v/>
      </c>
      <c r="C946" s="4" t="str">
        <f>IF(A946="","",'Cálculos y conversiones'!$B$11*Tabla!E945)</f>
        <v/>
      </c>
      <c r="D946" s="4" t="str">
        <f t="shared" si="28"/>
        <v/>
      </c>
      <c r="E946" s="4" t="str">
        <f t="shared" si="29"/>
        <v/>
      </c>
    </row>
    <row r="947" spans="2:5" x14ac:dyDescent="0.25">
      <c r="B947" s="4" t="str">
        <f>IF(A947="","",'Cálculos y conversiones'!$B$14)</f>
        <v/>
      </c>
      <c r="C947" s="4" t="str">
        <f>IF(A947="","",'Cálculos y conversiones'!$B$11*Tabla!E946)</f>
        <v/>
      </c>
      <c r="D947" s="4" t="str">
        <f t="shared" si="28"/>
        <v/>
      </c>
      <c r="E947" s="4" t="str">
        <f t="shared" si="29"/>
        <v/>
      </c>
    </row>
    <row r="948" spans="2:5" x14ac:dyDescent="0.25">
      <c r="B948" s="4" t="str">
        <f>IF(A948="","",'Cálculos y conversiones'!$B$14)</f>
        <v/>
      </c>
      <c r="C948" s="4" t="str">
        <f>IF(A948="","",'Cálculos y conversiones'!$B$11*Tabla!E947)</f>
        <v/>
      </c>
      <c r="D948" s="4" t="str">
        <f t="shared" si="28"/>
        <v/>
      </c>
      <c r="E948" s="4" t="str">
        <f t="shared" si="29"/>
        <v/>
      </c>
    </row>
    <row r="949" spans="2:5" x14ac:dyDescent="0.25">
      <c r="B949" s="4" t="str">
        <f>IF(A949="","",'Cálculos y conversiones'!$B$14)</f>
        <v/>
      </c>
      <c r="C949" s="4" t="str">
        <f>IF(A949="","",'Cálculos y conversiones'!$B$11*Tabla!E948)</f>
        <v/>
      </c>
      <c r="D949" s="4" t="str">
        <f t="shared" si="28"/>
        <v/>
      </c>
      <c r="E949" s="4" t="str">
        <f t="shared" si="29"/>
        <v/>
      </c>
    </row>
    <row r="950" spans="2:5" x14ac:dyDescent="0.25">
      <c r="B950" s="4" t="str">
        <f>IF(A950="","",'Cálculos y conversiones'!$B$14)</f>
        <v/>
      </c>
      <c r="C950" s="4" t="str">
        <f>IF(A950="","",'Cálculos y conversiones'!$B$11*Tabla!E949)</f>
        <v/>
      </c>
      <c r="D950" s="4" t="str">
        <f t="shared" si="28"/>
        <v/>
      </c>
      <c r="E950" s="4" t="str">
        <f t="shared" si="29"/>
        <v/>
      </c>
    </row>
    <row r="951" spans="2:5" x14ac:dyDescent="0.25">
      <c r="B951" s="4" t="str">
        <f>IF(A951="","",'Cálculos y conversiones'!$B$14)</f>
        <v/>
      </c>
      <c r="C951" s="4" t="str">
        <f>IF(A951="","",'Cálculos y conversiones'!$B$11*Tabla!E950)</f>
        <v/>
      </c>
      <c r="D951" s="4" t="str">
        <f t="shared" si="28"/>
        <v/>
      </c>
      <c r="E951" s="4" t="str">
        <f t="shared" si="29"/>
        <v/>
      </c>
    </row>
    <row r="952" spans="2:5" x14ac:dyDescent="0.25">
      <c r="B952" s="4" t="str">
        <f>IF(A952="","",'Cálculos y conversiones'!$B$14)</f>
        <v/>
      </c>
      <c r="C952" s="4" t="str">
        <f>IF(A952="","",'Cálculos y conversiones'!$B$11*Tabla!E951)</f>
        <v/>
      </c>
      <c r="D952" s="4" t="str">
        <f t="shared" si="28"/>
        <v/>
      </c>
      <c r="E952" s="4" t="str">
        <f t="shared" si="29"/>
        <v/>
      </c>
    </row>
    <row r="953" spans="2:5" x14ac:dyDescent="0.25">
      <c r="B953" s="4" t="str">
        <f>IF(A953="","",'Cálculos y conversiones'!$B$14)</f>
        <v/>
      </c>
      <c r="C953" s="4" t="str">
        <f>IF(A953="","",'Cálculos y conversiones'!$B$11*Tabla!E952)</f>
        <v/>
      </c>
      <c r="D953" s="4" t="str">
        <f t="shared" si="28"/>
        <v/>
      </c>
      <c r="E953" s="4" t="str">
        <f t="shared" si="29"/>
        <v/>
      </c>
    </row>
    <row r="954" spans="2:5" x14ac:dyDescent="0.25">
      <c r="B954" s="4" t="str">
        <f>IF(A954="","",'Cálculos y conversiones'!$B$14)</f>
        <v/>
      </c>
      <c r="C954" s="4" t="str">
        <f>IF(A954="","",'Cálculos y conversiones'!$B$11*Tabla!E953)</f>
        <v/>
      </c>
      <c r="D954" s="4" t="str">
        <f t="shared" si="28"/>
        <v/>
      </c>
      <c r="E954" s="4" t="str">
        <f t="shared" si="29"/>
        <v/>
      </c>
    </row>
    <row r="955" spans="2:5" x14ac:dyDescent="0.25">
      <c r="B955" s="4" t="str">
        <f>IF(A955="","",'Cálculos y conversiones'!$B$14)</f>
        <v/>
      </c>
      <c r="C955" s="4" t="str">
        <f>IF(A955="","",'Cálculos y conversiones'!$B$11*Tabla!E954)</f>
        <v/>
      </c>
      <c r="D955" s="4" t="str">
        <f t="shared" si="28"/>
        <v/>
      </c>
      <c r="E955" s="4" t="str">
        <f t="shared" si="29"/>
        <v/>
      </c>
    </row>
    <row r="956" spans="2:5" x14ac:dyDescent="0.25">
      <c r="B956" s="4" t="str">
        <f>IF(A956="","",'Cálculos y conversiones'!$B$14)</f>
        <v/>
      </c>
      <c r="C956" s="4" t="str">
        <f>IF(A956="","",'Cálculos y conversiones'!$B$11*Tabla!E955)</f>
        <v/>
      </c>
      <c r="D956" s="4" t="str">
        <f t="shared" si="28"/>
        <v/>
      </c>
      <c r="E956" s="4" t="str">
        <f t="shared" si="29"/>
        <v/>
      </c>
    </row>
    <row r="957" spans="2:5" x14ac:dyDescent="0.25">
      <c r="B957" s="4" t="str">
        <f>IF(A957="","",'Cálculos y conversiones'!$B$14)</f>
        <v/>
      </c>
      <c r="C957" s="4" t="str">
        <f>IF(A957="","",'Cálculos y conversiones'!$B$11*Tabla!E956)</f>
        <v/>
      </c>
      <c r="D957" s="4" t="str">
        <f t="shared" si="28"/>
        <v/>
      </c>
      <c r="E957" s="4" t="str">
        <f t="shared" si="29"/>
        <v/>
      </c>
    </row>
    <row r="958" spans="2:5" x14ac:dyDescent="0.25">
      <c r="B958" s="4" t="str">
        <f>IF(A958="","",'Cálculos y conversiones'!$B$14)</f>
        <v/>
      </c>
      <c r="C958" s="4" t="str">
        <f>IF(A958="","",'Cálculos y conversiones'!$B$11*Tabla!E957)</f>
        <v/>
      </c>
      <c r="D958" s="4" t="str">
        <f t="shared" si="28"/>
        <v/>
      </c>
      <c r="E958" s="4" t="str">
        <f t="shared" si="29"/>
        <v/>
      </c>
    </row>
    <row r="959" spans="2:5" x14ac:dyDescent="0.25">
      <c r="B959" s="4" t="str">
        <f>IF(A959="","",'Cálculos y conversiones'!$B$14)</f>
        <v/>
      </c>
      <c r="C959" s="4" t="str">
        <f>IF(A959="","",'Cálculos y conversiones'!$B$11*Tabla!E958)</f>
        <v/>
      </c>
      <c r="D959" s="4" t="str">
        <f t="shared" si="28"/>
        <v/>
      </c>
      <c r="E959" s="4" t="str">
        <f t="shared" si="29"/>
        <v/>
      </c>
    </row>
    <row r="960" spans="2:5" x14ac:dyDescent="0.25">
      <c r="B960" s="4" t="str">
        <f>IF(A960="","",'Cálculos y conversiones'!$B$14)</f>
        <v/>
      </c>
      <c r="C960" s="4" t="str">
        <f>IF(A960="","",'Cálculos y conversiones'!$B$11*Tabla!E959)</f>
        <v/>
      </c>
      <c r="D960" s="4" t="str">
        <f t="shared" si="28"/>
        <v/>
      </c>
      <c r="E960" s="4" t="str">
        <f t="shared" si="29"/>
        <v/>
      </c>
    </row>
    <row r="961" spans="2:5" x14ac:dyDescent="0.25">
      <c r="B961" s="4" t="str">
        <f>IF(A961="","",'Cálculos y conversiones'!$B$14)</f>
        <v/>
      </c>
      <c r="C961" s="4" t="str">
        <f>IF(A961="","",'Cálculos y conversiones'!$B$11*Tabla!E960)</f>
        <v/>
      </c>
      <c r="D961" s="4" t="str">
        <f t="shared" si="28"/>
        <v/>
      </c>
      <c r="E961" s="4" t="str">
        <f t="shared" si="29"/>
        <v/>
      </c>
    </row>
    <row r="962" spans="2:5" x14ac:dyDescent="0.25">
      <c r="B962" s="4" t="str">
        <f>IF(A962="","",'Cálculos y conversiones'!$B$14)</f>
        <v/>
      </c>
      <c r="C962" s="4" t="str">
        <f>IF(A962="","",'Cálculos y conversiones'!$B$11*Tabla!E961)</f>
        <v/>
      </c>
      <c r="D962" s="4" t="str">
        <f t="shared" si="28"/>
        <v/>
      </c>
      <c r="E962" s="4" t="str">
        <f t="shared" si="29"/>
        <v/>
      </c>
    </row>
    <row r="963" spans="2:5" x14ac:dyDescent="0.25">
      <c r="B963" s="4" t="str">
        <f>IF(A963="","",'Cálculos y conversiones'!$B$14)</f>
        <v/>
      </c>
      <c r="C963" s="4" t="str">
        <f>IF(A963="","",'Cálculos y conversiones'!$B$11*Tabla!E962)</f>
        <v/>
      </c>
      <c r="D963" s="4" t="str">
        <f t="shared" si="28"/>
        <v/>
      </c>
      <c r="E963" s="4" t="str">
        <f t="shared" si="29"/>
        <v/>
      </c>
    </row>
    <row r="964" spans="2:5" x14ac:dyDescent="0.25">
      <c r="B964" s="4" t="str">
        <f>IF(A964="","",'Cálculos y conversiones'!$B$14)</f>
        <v/>
      </c>
      <c r="C964" s="4" t="str">
        <f>IF(A964="","",'Cálculos y conversiones'!$B$11*Tabla!E963)</f>
        <v/>
      </c>
      <c r="D964" s="4" t="str">
        <f t="shared" si="28"/>
        <v/>
      </c>
      <c r="E964" s="4" t="str">
        <f t="shared" si="29"/>
        <v/>
      </c>
    </row>
    <row r="965" spans="2:5" x14ac:dyDescent="0.25">
      <c r="B965" s="4" t="str">
        <f>IF(A965="","",'Cálculos y conversiones'!$B$14)</f>
        <v/>
      </c>
      <c r="C965" s="4" t="str">
        <f>IF(A965="","",'Cálculos y conversiones'!$B$11*Tabla!E964)</f>
        <v/>
      </c>
      <c r="D965" s="4" t="str">
        <f t="shared" si="28"/>
        <v/>
      </c>
      <c r="E965" s="4" t="str">
        <f t="shared" si="29"/>
        <v/>
      </c>
    </row>
    <row r="966" spans="2:5" x14ac:dyDescent="0.25">
      <c r="B966" s="4" t="str">
        <f>IF(A966="","",'Cálculos y conversiones'!$B$14)</f>
        <v/>
      </c>
      <c r="C966" s="4" t="str">
        <f>IF(A966="","",'Cálculos y conversiones'!$B$11*Tabla!E965)</f>
        <v/>
      </c>
      <c r="D966" s="4" t="str">
        <f t="shared" si="28"/>
        <v/>
      </c>
      <c r="E966" s="4" t="str">
        <f t="shared" si="29"/>
        <v/>
      </c>
    </row>
    <row r="967" spans="2:5" x14ac:dyDescent="0.25">
      <c r="B967" s="4" t="str">
        <f>IF(A967="","",'Cálculos y conversiones'!$B$14)</f>
        <v/>
      </c>
      <c r="C967" s="4" t="str">
        <f>IF(A967="","",'Cálculos y conversiones'!$B$11*Tabla!E966)</f>
        <v/>
      </c>
      <c r="D967" s="4" t="str">
        <f t="shared" si="28"/>
        <v/>
      </c>
      <c r="E967" s="4" t="str">
        <f t="shared" si="29"/>
        <v/>
      </c>
    </row>
    <row r="968" spans="2:5" x14ac:dyDescent="0.25">
      <c r="B968" s="4" t="str">
        <f>IF(A968="","",'Cálculos y conversiones'!$B$14)</f>
        <v/>
      </c>
      <c r="C968" s="4" t="str">
        <f>IF(A968="","",'Cálculos y conversiones'!$B$11*Tabla!E967)</f>
        <v/>
      </c>
      <c r="D968" s="4" t="str">
        <f t="shared" si="28"/>
        <v/>
      </c>
      <c r="E968" s="4" t="str">
        <f t="shared" si="29"/>
        <v/>
      </c>
    </row>
    <row r="969" spans="2:5" x14ac:dyDescent="0.25">
      <c r="B969" s="4" t="str">
        <f>IF(A969="","",'Cálculos y conversiones'!$B$14)</f>
        <v/>
      </c>
      <c r="C969" s="4" t="str">
        <f>IF(A969="","",'Cálculos y conversiones'!$B$11*Tabla!E968)</f>
        <v/>
      </c>
      <c r="D969" s="4" t="str">
        <f t="shared" si="28"/>
        <v/>
      </c>
      <c r="E969" s="4" t="str">
        <f t="shared" si="29"/>
        <v/>
      </c>
    </row>
    <row r="970" spans="2:5" x14ac:dyDescent="0.25">
      <c r="B970" s="4" t="str">
        <f>IF(A970="","",'Cálculos y conversiones'!$B$14)</f>
        <v/>
      </c>
      <c r="C970" s="4" t="str">
        <f>IF(A970="","",'Cálculos y conversiones'!$B$11*Tabla!E969)</f>
        <v/>
      </c>
      <c r="D970" s="4" t="str">
        <f t="shared" ref="D970:D1010" si="30">IF(A970="","",B970-C970)</f>
        <v/>
      </c>
      <c r="E970" s="4" t="str">
        <f t="shared" ref="E970:E1010" si="31">IF(A970="","",E969-D970)</f>
        <v/>
      </c>
    </row>
    <row r="971" spans="2:5" x14ac:dyDescent="0.25">
      <c r="B971" s="4" t="str">
        <f>IF(A971="","",'Cálculos y conversiones'!$B$14)</f>
        <v/>
      </c>
      <c r="C971" s="4" t="str">
        <f>IF(A971="","",'Cálculos y conversiones'!$B$11*Tabla!E970)</f>
        <v/>
      </c>
      <c r="D971" s="4" t="str">
        <f t="shared" si="30"/>
        <v/>
      </c>
      <c r="E971" s="4" t="str">
        <f t="shared" si="31"/>
        <v/>
      </c>
    </row>
    <row r="972" spans="2:5" x14ac:dyDescent="0.25">
      <c r="B972" s="4" t="str">
        <f>IF(A972="","",'Cálculos y conversiones'!$B$14)</f>
        <v/>
      </c>
      <c r="C972" s="4" t="str">
        <f>IF(A972="","",'Cálculos y conversiones'!$B$11*Tabla!E971)</f>
        <v/>
      </c>
      <c r="D972" s="4" t="str">
        <f t="shared" si="30"/>
        <v/>
      </c>
      <c r="E972" s="4" t="str">
        <f t="shared" si="31"/>
        <v/>
      </c>
    </row>
    <row r="973" spans="2:5" x14ac:dyDescent="0.25">
      <c r="B973" s="4" t="str">
        <f>IF(A973="","",'Cálculos y conversiones'!$B$14)</f>
        <v/>
      </c>
      <c r="C973" s="4" t="str">
        <f>IF(A973="","",'Cálculos y conversiones'!$B$11*Tabla!E972)</f>
        <v/>
      </c>
      <c r="D973" s="4" t="str">
        <f t="shared" si="30"/>
        <v/>
      </c>
      <c r="E973" s="4" t="str">
        <f t="shared" si="31"/>
        <v/>
      </c>
    </row>
    <row r="974" spans="2:5" x14ac:dyDescent="0.25">
      <c r="B974" s="4" t="str">
        <f>IF(A974="","",'Cálculos y conversiones'!$B$14)</f>
        <v/>
      </c>
      <c r="C974" s="4" t="str">
        <f>IF(A974="","",'Cálculos y conversiones'!$B$11*Tabla!E973)</f>
        <v/>
      </c>
      <c r="D974" s="4" t="str">
        <f t="shared" si="30"/>
        <v/>
      </c>
      <c r="E974" s="4" t="str">
        <f t="shared" si="31"/>
        <v/>
      </c>
    </row>
    <row r="975" spans="2:5" x14ac:dyDescent="0.25">
      <c r="B975" s="4" t="str">
        <f>IF(A975="","",'Cálculos y conversiones'!$B$14)</f>
        <v/>
      </c>
      <c r="C975" s="4" t="str">
        <f>IF(A975="","",'Cálculos y conversiones'!$B$11*Tabla!E974)</f>
        <v/>
      </c>
      <c r="D975" s="4" t="str">
        <f t="shared" si="30"/>
        <v/>
      </c>
      <c r="E975" s="4" t="str">
        <f t="shared" si="31"/>
        <v/>
      </c>
    </row>
    <row r="976" spans="2:5" x14ac:dyDescent="0.25">
      <c r="B976" s="4" t="str">
        <f>IF(A976="","",'Cálculos y conversiones'!$B$14)</f>
        <v/>
      </c>
      <c r="C976" s="4" t="str">
        <f>IF(A976="","",'Cálculos y conversiones'!$B$11*Tabla!E975)</f>
        <v/>
      </c>
      <c r="D976" s="4" t="str">
        <f t="shared" si="30"/>
        <v/>
      </c>
      <c r="E976" s="4" t="str">
        <f t="shared" si="31"/>
        <v/>
      </c>
    </row>
    <row r="977" spans="2:5" x14ac:dyDescent="0.25">
      <c r="B977" s="4" t="str">
        <f>IF(A977="","",'Cálculos y conversiones'!$B$14)</f>
        <v/>
      </c>
      <c r="C977" s="4" t="str">
        <f>IF(A977="","",'Cálculos y conversiones'!$B$11*Tabla!E976)</f>
        <v/>
      </c>
      <c r="D977" s="4" t="str">
        <f t="shared" si="30"/>
        <v/>
      </c>
      <c r="E977" s="4" t="str">
        <f t="shared" si="31"/>
        <v/>
      </c>
    </row>
    <row r="978" spans="2:5" x14ac:dyDescent="0.25">
      <c r="B978" s="4" t="str">
        <f>IF(A978="","",'Cálculos y conversiones'!$B$14)</f>
        <v/>
      </c>
      <c r="C978" s="4" t="str">
        <f>IF(A978="","",'Cálculos y conversiones'!$B$11*Tabla!E977)</f>
        <v/>
      </c>
      <c r="D978" s="4" t="str">
        <f t="shared" si="30"/>
        <v/>
      </c>
      <c r="E978" s="4" t="str">
        <f t="shared" si="31"/>
        <v/>
      </c>
    </row>
    <row r="979" spans="2:5" x14ac:dyDescent="0.25">
      <c r="B979" s="4" t="str">
        <f>IF(A979="","",'Cálculos y conversiones'!$B$14)</f>
        <v/>
      </c>
      <c r="C979" s="4" t="str">
        <f>IF(A979="","",'Cálculos y conversiones'!$B$11*Tabla!E978)</f>
        <v/>
      </c>
      <c r="D979" s="4" t="str">
        <f t="shared" si="30"/>
        <v/>
      </c>
      <c r="E979" s="4" t="str">
        <f t="shared" si="31"/>
        <v/>
      </c>
    </row>
    <row r="980" spans="2:5" x14ac:dyDescent="0.25">
      <c r="B980" s="4" t="str">
        <f>IF(A980="","",'Cálculos y conversiones'!$B$14)</f>
        <v/>
      </c>
      <c r="C980" s="4" t="str">
        <f>IF(A980="","",'Cálculos y conversiones'!$B$11*Tabla!E979)</f>
        <v/>
      </c>
      <c r="D980" s="4" t="str">
        <f t="shared" si="30"/>
        <v/>
      </c>
      <c r="E980" s="4" t="str">
        <f t="shared" si="31"/>
        <v/>
      </c>
    </row>
    <row r="981" spans="2:5" x14ac:dyDescent="0.25">
      <c r="B981" s="4" t="str">
        <f>IF(A981="","",'Cálculos y conversiones'!$B$14)</f>
        <v/>
      </c>
      <c r="C981" s="4" t="str">
        <f>IF(A981="","",'Cálculos y conversiones'!$B$11*Tabla!E980)</f>
        <v/>
      </c>
      <c r="D981" s="4" t="str">
        <f t="shared" si="30"/>
        <v/>
      </c>
      <c r="E981" s="4" t="str">
        <f t="shared" si="31"/>
        <v/>
      </c>
    </row>
    <row r="982" spans="2:5" x14ac:dyDescent="0.25">
      <c r="B982" s="4" t="str">
        <f>IF(A982="","",'Cálculos y conversiones'!$B$14)</f>
        <v/>
      </c>
      <c r="C982" s="4" t="str">
        <f>IF(A982="","",'Cálculos y conversiones'!$B$11*Tabla!E981)</f>
        <v/>
      </c>
      <c r="D982" s="4" t="str">
        <f t="shared" si="30"/>
        <v/>
      </c>
      <c r="E982" s="4" t="str">
        <f t="shared" si="31"/>
        <v/>
      </c>
    </row>
    <row r="983" spans="2:5" x14ac:dyDescent="0.25">
      <c r="B983" s="4" t="str">
        <f>IF(A983="","",'Cálculos y conversiones'!$B$14)</f>
        <v/>
      </c>
      <c r="C983" s="4" t="str">
        <f>IF(A983="","",'Cálculos y conversiones'!$B$11*Tabla!E982)</f>
        <v/>
      </c>
      <c r="D983" s="4" t="str">
        <f t="shared" si="30"/>
        <v/>
      </c>
      <c r="E983" s="4" t="str">
        <f t="shared" si="31"/>
        <v/>
      </c>
    </row>
    <row r="984" spans="2:5" x14ac:dyDescent="0.25">
      <c r="B984" s="4" t="str">
        <f>IF(A984="","",'Cálculos y conversiones'!$B$14)</f>
        <v/>
      </c>
      <c r="C984" s="4" t="str">
        <f>IF(A984="","",'Cálculos y conversiones'!$B$11*Tabla!E983)</f>
        <v/>
      </c>
      <c r="D984" s="4" t="str">
        <f t="shared" si="30"/>
        <v/>
      </c>
      <c r="E984" s="4" t="str">
        <f t="shared" si="31"/>
        <v/>
      </c>
    </row>
    <row r="985" spans="2:5" x14ac:dyDescent="0.25">
      <c r="B985" s="4" t="str">
        <f>IF(A985="","",'Cálculos y conversiones'!$B$14)</f>
        <v/>
      </c>
      <c r="C985" s="4" t="str">
        <f>IF(A985="","",'Cálculos y conversiones'!$B$11*Tabla!E984)</f>
        <v/>
      </c>
      <c r="D985" s="4" t="str">
        <f t="shared" si="30"/>
        <v/>
      </c>
      <c r="E985" s="4" t="str">
        <f t="shared" si="31"/>
        <v/>
      </c>
    </row>
    <row r="986" spans="2:5" x14ac:dyDescent="0.25">
      <c r="B986" s="4" t="str">
        <f>IF(A986="","",'Cálculos y conversiones'!$B$14)</f>
        <v/>
      </c>
      <c r="C986" s="4" t="str">
        <f>IF(A986="","",'Cálculos y conversiones'!$B$11*Tabla!E985)</f>
        <v/>
      </c>
      <c r="D986" s="4" t="str">
        <f t="shared" si="30"/>
        <v/>
      </c>
      <c r="E986" s="4" t="str">
        <f t="shared" si="31"/>
        <v/>
      </c>
    </row>
    <row r="987" spans="2:5" x14ac:dyDescent="0.25">
      <c r="B987" s="4" t="str">
        <f>IF(A987="","",'Cálculos y conversiones'!$B$14)</f>
        <v/>
      </c>
      <c r="C987" s="4" t="str">
        <f>IF(A987="","",'Cálculos y conversiones'!$B$11*Tabla!E986)</f>
        <v/>
      </c>
      <c r="D987" s="4" t="str">
        <f t="shared" si="30"/>
        <v/>
      </c>
      <c r="E987" s="4" t="str">
        <f t="shared" si="31"/>
        <v/>
      </c>
    </row>
    <row r="988" spans="2:5" x14ac:dyDescent="0.25">
      <c r="B988" s="4" t="str">
        <f>IF(A988="","",'Cálculos y conversiones'!$B$14)</f>
        <v/>
      </c>
      <c r="C988" s="4" t="str">
        <f>IF(A988="","",'Cálculos y conversiones'!$B$11*Tabla!E987)</f>
        <v/>
      </c>
      <c r="D988" s="4" t="str">
        <f t="shared" si="30"/>
        <v/>
      </c>
      <c r="E988" s="4" t="str">
        <f t="shared" si="31"/>
        <v/>
      </c>
    </row>
    <row r="989" spans="2:5" x14ac:dyDescent="0.25">
      <c r="B989" s="4" t="str">
        <f>IF(A989="","",'Cálculos y conversiones'!$B$14)</f>
        <v/>
      </c>
      <c r="C989" s="4" t="str">
        <f>IF(A989="","",'Cálculos y conversiones'!$B$11*Tabla!E988)</f>
        <v/>
      </c>
      <c r="D989" s="4" t="str">
        <f t="shared" si="30"/>
        <v/>
      </c>
      <c r="E989" s="4" t="str">
        <f t="shared" si="31"/>
        <v/>
      </c>
    </row>
    <row r="990" spans="2:5" x14ac:dyDescent="0.25">
      <c r="B990" s="4" t="str">
        <f>IF(A990="","",'Cálculos y conversiones'!$B$14)</f>
        <v/>
      </c>
      <c r="C990" s="4" t="str">
        <f>IF(A990="","",'Cálculos y conversiones'!$B$11*Tabla!E989)</f>
        <v/>
      </c>
      <c r="D990" s="4" t="str">
        <f t="shared" si="30"/>
        <v/>
      </c>
      <c r="E990" s="4" t="str">
        <f t="shared" si="31"/>
        <v/>
      </c>
    </row>
    <row r="991" spans="2:5" x14ac:dyDescent="0.25">
      <c r="B991" s="4" t="str">
        <f>IF(A991="","",'Cálculos y conversiones'!$B$14)</f>
        <v/>
      </c>
      <c r="C991" s="4" t="str">
        <f>IF(A991="","",'Cálculos y conversiones'!$B$11*Tabla!E990)</f>
        <v/>
      </c>
      <c r="D991" s="4" t="str">
        <f t="shared" si="30"/>
        <v/>
      </c>
      <c r="E991" s="4" t="str">
        <f t="shared" si="31"/>
        <v/>
      </c>
    </row>
    <row r="992" spans="2:5" x14ac:dyDescent="0.25">
      <c r="B992" s="4" t="str">
        <f>IF(A992="","",'Cálculos y conversiones'!$B$14)</f>
        <v/>
      </c>
      <c r="C992" s="4" t="str">
        <f>IF(A992="","",'Cálculos y conversiones'!$B$11*Tabla!E991)</f>
        <v/>
      </c>
      <c r="D992" s="4" t="str">
        <f t="shared" si="30"/>
        <v/>
      </c>
      <c r="E992" s="4" t="str">
        <f t="shared" si="31"/>
        <v/>
      </c>
    </row>
    <row r="993" spans="2:5" x14ac:dyDescent="0.25">
      <c r="B993" s="4" t="str">
        <f>IF(A993="","",'Cálculos y conversiones'!$B$14)</f>
        <v/>
      </c>
      <c r="C993" s="4" t="str">
        <f>IF(A993="","",'Cálculos y conversiones'!$B$11*Tabla!E992)</f>
        <v/>
      </c>
      <c r="D993" s="4" t="str">
        <f t="shared" si="30"/>
        <v/>
      </c>
      <c r="E993" s="4" t="str">
        <f t="shared" si="31"/>
        <v/>
      </c>
    </row>
    <row r="994" spans="2:5" x14ac:dyDescent="0.25">
      <c r="B994" s="4" t="str">
        <f>IF(A994="","",'Cálculos y conversiones'!$B$14)</f>
        <v/>
      </c>
      <c r="C994" s="4" t="str">
        <f>IF(A994="","",'Cálculos y conversiones'!$B$11*Tabla!E993)</f>
        <v/>
      </c>
      <c r="D994" s="4" t="str">
        <f t="shared" si="30"/>
        <v/>
      </c>
      <c r="E994" s="4" t="str">
        <f t="shared" si="31"/>
        <v/>
      </c>
    </row>
    <row r="995" spans="2:5" x14ac:dyDescent="0.25">
      <c r="B995" s="4" t="str">
        <f>IF(A995="","",'Cálculos y conversiones'!$B$14)</f>
        <v/>
      </c>
      <c r="C995" s="4" t="str">
        <f>IF(A995="","",'Cálculos y conversiones'!$B$11*Tabla!E994)</f>
        <v/>
      </c>
      <c r="D995" s="4" t="str">
        <f t="shared" si="30"/>
        <v/>
      </c>
      <c r="E995" s="4" t="str">
        <f t="shared" si="31"/>
        <v/>
      </c>
    </row>
    <row r="996" spans="2:5" x14ac:dyDescent="0.25">
      <c r="B996" s="4" t="str">
        <f>IF(A996="","",'Cálculos y conversiones'!$B$14)</f>
        <v/>
      </c>
      <c r="C996" s="4" t="str">
        <f>IF(A996="","",'Cálculos y conversiones'!$B$11*Tabla!E995)</f>
        <v/>
      </c>
      <c r="D996" s="4" t="str">
        <f t="shared" si="30"/>
        <v/>
      </c>
      <c r="E996" s="4" t="str">
        <f t="shared" si="31"/>
        <v/>
      </c>
    </row>
    <row r="997" spans="2:5" x14ac:dyDescent="0.25">
      <c r="B997" s="4" t="str">
        <f>IF(A997="","",'Cálculos y conversiones'!$B$14)</f>
        <v/>
      </c>
      <c r="C997" s="4" t="str">
        <f>IF(A997="","",'Cálculos y conversiones'!$B$11*Tabla!E996)</f>
        <v/>
      </c>
      <c r="D997" s="4" t="str">
        <f t="shared" si="30"/>
        <v/>
      </c>
      <c r="E997" s="4" t="str">
        <f t="shared" si="31"/>
        <v/>
      </c>
    </row>
    <row r="998" spans="2:5" x14ac:dyDescent="0.25">
      <c r="B998" s="4" t="str">
        <f>IF(A998="","",'Cálculos y conversiones'!$B$14)</f>
        <v/>
      </c>
      <c r="C998" s="4" t="str">
        <f>IF(A998="","",'Cálculos y conversiones'!$B$11*Tabla!E997)</f>
        <v/>
      </c>
      <c r="D998" s="4" t="str">
        <f t="shared" si="30"/>
        <v/>
      </c>
      <c r="E998" s="4" t="str">
        <f t="shared" si="31"/>
        <v/>
      </c>
    </row>
    <row r="999" spans="2:5" x14ac:dyDescent="0.25">
      <c r="B999" s="4" t="str">
        <f>IF(A999="","",'Cálculos y conversiones'!$B$14)</f>
        <v/>
      </c>
      <c r="C999" s="4" t="str">
        <f>IF(A999="","",'Cálculos y conversiones'!$B$11*Tabla!E998)</f>
        <v/>
      </c>
      <c r="D999" s="4" t="str">
        <f t="shared" si="30"/>
        <v/>
      </c>
      <c r="E999" s="4" t="str">
        <f t="shared" si="31"/>
        <v/>
      </c>
    </row>
    <row r="1000" spans="2:5" x14ac:dyDescent="0.25">
      <c r="B1000" s="4" t="str">
        <f>IF(A1000="","",'Cálculos y conversiones'!$B$14)</f>
        <v/>
      </c>
      <c r="C1000" s="4" t="str">
        <f>IF(A1000="","",'Cálculos y conversiones'!$B$11*Tabla!E999)</f>
        <v/>
      </c>
      <c r="D1000" s="4" t="str">
        <f t="shared" si="30"/>
        <v/>
      </c>
      <c r="E1000" s="4" t="str">
        <f t="shared" si="31"/>
        <v/>
      </c>
    </row>
    <row r="1001" spans="2:5" x14ac:dyDescent="0.25">
      <c r="B1001" s="4" t="str">
        <f>IF(A1001="","",'Cálculos y conversiones'!$B$14)</f>
        <v/>
      </c>
      <c r="C1001" s="4" t="str">
        <f>IF(A1001="","",'Cálculos y conversiones'!$B$11*Tabla!E1000)</f>
        <v/>
      </c>
      <c r="D1001" s="4" t="str">
        <f t="shared" si="30"/>
        <v/>
      </c>
      <c r="E1001" s="4" t="str">
        <f t="shared" si="31"/>
        <v/>
      </c>
    </row>
    <row r="1002" spans="2:5" x14ac:dyDescent="0.25">
      <c r="B1002" s="4" t="str">
        <f>IF(A1002="","",'Cálculos y conversiones'!$B$14)</f>
        <v/>
      </c>
      <c r="C1002" s="4" t="str">
        <f>IF(A1002="","",'Cálculos y conversiones'!$B$11*Tabla!E1001)</f>
        <v/>
      </c>
      <c r="D1002" s="4" t="str">
        <f t="shared" si="30"/>
        <v/>
      </c>
      <c r="E1002" s="4" t="str">
        <f t="shared" si="31"/>
        <v/>
      </c>
    </row>
    <row r="1003" spans="2:5" x14ac:dyDescent="0.25">
      <c r="B1003" s="4" t="str">
        <f>IF(A1003="","",'Cálculos y conversiones'!$B$14)</f>
        <v/>
      </c>
      <c r="C1003" s="4" t="str">
        <f>IF(A1003="","",'Cálculos y conversiones'!$B$11*Tabla!E1002)</f>
        <v/>
      </c>
      <c r="D1003" s="4" t="str">
        <f t="shared" si="30"/>
        <v/>
      </c>
      <c r="E1003" s="4" t="str">
        <f t="shared" si="31"/>
        <v/>
      </c>
    </row>
    <row r="1004" spans="2:5" x14ac:dyDescent="0.25">
      <c r="B1004" s="4" t="str">
        <f>IF(A1004="","",'Cálculos y conversiones'!$B$14)</f>
        <v/>
      </c>
      <c r="C1004" s="4" t="str">
        <f>IF(A1004="","",'Cálculos y conversiones'!$B$11*Tabla!E1003)</f>
        <v/>
      </c>
      <c r="D1004" s="4" t="str">
        <f t="shared" si="30"/>
        <v/>
      </c>
      <c r="E1004" s="4" t="str">
        <f t="shared" si="31"/>
        <v/>
      </c>
    </row>
    <row r="1005" spans="2:5" x14ac:dyDescent="0.25">
      <c r="B1005" s="4" t="str">
        <f>IF(A1005="","",'Cálculos y conversiones'!$B$14)</f>
        <v/>
      </c>
      <c r="C1005" s="4" t="str">
        <f>IF(A1005="","",'Cálculos y conversiones'!$B$11*Tabla!E1004)</f>
        <v/>
      </c>
      <c r="D1005" s="4" t="str">
        <f t="shared" si="30"/>
        <v/>
      </c>
      <c r="E1005" s="4" t="str">
        <f t="shared" si="31"/>
        <v/>
      </c>
    </row>
    <row r="1006" spans="2:5" x14ac:dyDescent="0.25">
      <c r="B1006" s="4" t="str">
        <f>IF(A1006="","",'Cálculos y conversiones'!$B$14)</f>
        <v/>
      </c>
      <c r="C1006" s="4" t="str">
        <f>IF(A1006="","",'Cálculos y conversiones'!$B$11*Tabla!E1005)</f>
        <v/>
      </c>
      <c r="D1006" s="4" t="str">
        <f t="shared" si="30"/>
        <v/>
      </c>
      <c r="E1006" s="4" t="str">
        <f t="shared" si="31"/>
        <v/>
      </c>
    </row>
    <row r="1007" spans="2:5" x14ac:dyDescent="0.25">
      <c r="B1007" s="4" t="str">
        <f>IF(A1007="","",'Cálculos y conversiones'!$B$14)</f>
        <v/>
      </c>
      <c r="C1007" s="4" t="str">
        <f>IF(A1007="","",'Cálculos y conversiones'!$B$11*Tabla!E1006)</f>
        <v/>
      </c>
      <c r="D1007" s="4" t="str">
        <f t="shared" si="30"/>
        <v/>
      </c>
      <c r="E1007" s="4" t="str">
        <f t="shared" si="31"/>
        <v/>
      </c>
    </row>
    <row r="1008" spans="2:5" x14ac:dyDescent="0.25">
      <c r="B1008" s="4" t="str">
        <f>IF(A1008="","",'Cálculos y conversiones'!$B$14)</f>
        <v/>
      </c>
      <c r="C1008" s="4" t="str">
        <f>IF(A1008="","",'Cálculos y conversiones'!$B$11*Tabla!E1007)</f>
        <v/>
      </c>
      <c r="D1008" s="4" t="str">
        <f t="shared" si="30"/>
        <v/>
      </c>
      <c r="E1008" s="4" t="str">
        <f t="shared" si="31"/>
        <v/>
      </c>
    </row>
    <row r="1009" spans="2:5" x14ac:dyDescent="0.25">
      <c r="B1009" s="4" t="str">
        <f>IF(A1009="","",'Cálculos y conversiones'!$B$14)</f>
        <v/>
      </c>
      <c r="C1009" s="4" t="str">
        <f>IF(A1009="","",'Cálculos y conversiones'!$B$11*Tabla!E1008)</f>
        <v/>
      </c>
      <c r="D1009" s="4" t="str">
        <f t="shared" si="30"/>
        <v/>
      </c>
      <c r="E1009" s="4" t="str">
        <f t="shared" si="31"/>
        <v/>
      </c>
    </row>
    <row r="1010" spans="2:5" x14ac:dyDescent="0.25">
      <c r="B1010" s="4" t="str">
        <f>IF(A1010="","",'Cálculos y conversiones'!$B$14)</f>
        <v/>
      </c>
      <c r="C1010" s="4" t="str">
        <f>IF(A1010="","",'Cálculos y conversiones'!$B$11*Tabla!E1009)</f>
        <v/>
      </c>
      <c r="D1010" s="4" t="str">
        <f t="shared" si="30"/>
        <v/>
      </c>
      <c r="E1010" s="4" t="str">
        <f t="shared" si="31"/>
        <v/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970B1-1A4C-4D3C-85A2-0F61E23E6A77}">
  <sheetPr codeName="Hoja3"/>
  <dimension ref="A1:E8"/>
  <sheetViews>
    <sheetView view="pageLayout" zoomScaleNormal="100" workbookViewId="0">
      <selection sqref="A1:A7"/>
    </sheetView>
  </sheetViews>
  <sheetFormatPr baseColWidth="10" defaultRowHeight="15" x14ac:dyDescent="0.25"/>
  <cols>
    <col min="1" max="1" width="9.7109375" customWidth="1"/>
    <col min="2" max="2" width="16" customWidth="1"/>
    <col min="3" max="3" width="15.5703125" customWidth="1"/>
    <col min="4" max="4" width="19.5703125" customWidth="1"/>
    <col min="5" max="5" width="22.85546875" customWidth="1"/>
  </cols>
  <sheetData>
    <row r="1" spans="1:5" x14ac:dyDescent="0.25">
      <c r="A1" t="s">
        <v>1</v>
      </c>
      <c r="C1" s="4">
        <f>'Cálculos y conversiones'!$B$10</f>
        <v>400000</v>
      </c>
    </row>
    <row r="2" spans="1:5" x14ac:dyDescent="0.25">
      <c r="A2" t="s">
        <v>2</v>
      </c>
      <c r="C2" s="4" t="e">
        <f>'Cálculos y conversiones'!$B$14</f>
        <v>#NUM!</v>
      </c>
    </row>
    <row r="3" spans="1:5" x14ac:dyDescent="0.25">
      <c r="A3" t="s">
        <v>6</v>
      </c>
      <c r="C3" s="8" t="str">
        <f>'Cálculos y conversiones'!$A$5</f>
        <v>Monthly</v>
      </c>
    </row>
    <row r="4" spans="1:5" x14ac:dyDescent="0.25">
      <c r="A4" t="s">
        <v>7</v>
      </c>
      <c r="C4" s="9" t="e">
        <f>'Cálculos y conversiones'!$B$11</f>
        <v>#NUM!</v>
      </c>
    </row>
    <row r="5" spans="1:5" x14ac:dyDescent="0.25">
      <c r="A5" t="s">
        <v>8</v>
      </c>
      <c r="C5" s="7" t="str">
        <f>'Cálculos y conversiones'!$B$12</f>
        <v>5</v>
      </c>
    </row>
    <row r="7" spans="1:5" x14ac:dyDescent="0.25">
      <c r="A7" s="12" t="s">
        <v>5</v>
      </c>
      <c r="B7" s="12" t="s">
        <v>2</v>
      </c>
      <c r="C7" s="12" t="s">
        <v>3</v>
      </c>
      <c r="D7" s="12" t="s">
        <v>1</v>
      </c>
      <c r="E7" s="12" t="s">
        <v>4</v>
      </c>
    </row>
    <row r="8" spans="1:5" x14ac:dyDescent="0.25">
      <c r="A8" t="str">
        <f>'Cálculos y conversiones'!$B$16</f>
        <v>4</v>
      </c>
      <c r="B8" s="6" t="e">
        <f>'Cálculos y conversiones'!$B$14</f>
        <v>#NUM!</v>
      </c>
      <c r="C8" s="6" t="e">
        <f>'Cálculos y conversiones'!$B$11*'Cálculos y conversiones'!$B$17</f>
        <v>#NUM!</v>
      </c>
      <c r="D8" s="6" t="e">
        <f>B8-C8</f>
        <v>#NUM!</v>
      </c>
      <c r="E8" s="6" t="e">
        <f>'Cálculos y conversiones'!$B$17-Renglón!D8</f>
        <v>#NUM!</v>
      </c>
    </row>
  </sheetData>
  <pageMargins left="0.7" right="0.7" top="0.75" bottom="0.75" header="0.3" footer="0.3"/>
  <pageSetup paperSize="9" orientation="portrait" r:id="rId1"/>
  <headerFooter>
    <oddHeader>&amp;C&amp;"-,Negrita"&amp;14&amp;K0070C0N-TH PERIOD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0B529-8ABE-4027-AC7D-D2251714271E}">
  <sheetPr codeName="Hoja5"/>
  <dimension ref="A1:E1010"/>
  <sheetViews>
    <sheetView view="pageLayout" zoomScaleNormal="100" workbookViewId="0">
      <selection activeCell="D10" sqref="D10"/>
    </sheetView>
  </sheetViews>
  <sheetFormatPr baseColWidth="10" defaultRowHeight="15" x14ac:dyDescent="0.25"/>
  <cols>
    <col min="1" max="1" width="10.28515625" customWidth="1"/>
    <col min="2" max="2" width="15.42578125" customWidth="1"/>
    <col min="3" max="3" width="15.5703125" customWidth="1"/>
    <col min="4" max="4" width="19" customWidth="1"/>
    <col min="5" max="5" width="21.5703125" customWidth="1"/>
  </cols>
  <sheetData>
    <row r="1" spans="1:5" x14ac:dyDescent="0.25">
      <c r="A1" s="13" t="s">
        <v>1</v>
      </c>
      <c r="C1" s="4">
        <f>'Cálculos y conversiones'!$B$10</f>
        <v>400000</v>
      </c>
    </row>
    <row r="2" spans="1:5" x14ac:dyDescent="0.25">
      <c r="A2" s="13" t="s">
        <v>2</v>
      </c>
      <c r="C2" s="4" t="e">
        <f>'Cálculos y conversiones'!$B$14</f>
        <v>#NUM!</v>
      </c>
    </row>
    <row r="3" spans="1:5" x14ac:dyDescent="0.25">
      <c r="A3" s="13" t="s">
        <v>6</v>
      </c>
      <c r="C3" s="8" t="str">
        <f>'Cálculos y conversiones'!$A$5</f>
        <v>Monthly</v>
      </c>
    </row>
    <row r="4" spans="1:5" x14ac:dyDescent="0.25">
      <c r="A4" s="13" t="s">
        <v>7</v>
      </c>
      <c r="C4" s="9" t="e">
        <f>'Cálculos y conversiones'!$B$11</f>
        <v>#NUM!</v>
      </c>
    </row>
    <row r="5" spans="1:5" x14ac:dyDescent="0.25">
      <c r="A5" s="13" t="s">
        <v>8</v>
      </c>
      <c r="C5" s="7" t="str">
        <f>'Cálculos y conversiones'!$B$12</f>
        <v>5</v>
      </c>
    </row>
    <row r="7" spans="1:5" x14ac:dyDescent="0.25">
      <c r="A7" s="12" t="s">
        <v>5</v>
      </c>
      <c r="B7" s="12" t="s">
        <v>2</v>
      </c>
      <c r="C7" s="12" t="s">
        <v>3</v>
      </c>
      <c r="D7" s="12" t="s">
        <v>1</v>
      </c>
      <c r="E7" s="12" t="s">
        <v>4</v>
      </c>
    </row>
    <row r="8" spans="1:5" x14ac:dyDescent="0.25">
      <c r="B8" s="6"/>
      <c r="C8" s="6"/>
      <c r="D8" s="6"/>
      <c r="E8" s="6"/>
    </row>
    <row r="9" spans="1:5" x14ac:dyDescent="0.25">
      <c r="B9" s="6"/>
      <c r="C9" s="6"/>
      <c r="D9" s="6"/>
      <c r="E9" s="6"/>
    </row>
    <row r="10" spans="1:5" x14ac:dyDescent="0.25">
      <c r="B10" s="6"/>
      <c r="C10" s="6"/>
      <c r="D10" s="6"/>
      <c r="E10" s="6"/>
    </row>
    <row r="11" spans="1:5" x14ac:dyDescent="0.25">
      <c r="B11" s="6"/>
      <c r="C11" s="6"/>
      <c r="D11" s="6"/>
      <c r="E11" s="6"/>
    </row>
    <row r="12" spans="1:5" x14ac:dyDescent="0.25">
      <c r="B12" s="6"/>
      <c r="C12" s="6"/>
      <c r="D12" s="6"/>
      <c r="E12" s="6"/>
    </row>
    <row r="13" spans="1:5" x14ac:dyDescent="0.25">
      <c r="B13" s="6"/>
      <c r="C13" s="6"/>
      <c r="D13" s="6"/>
      <c r="E13" s="6"/>
    </row>
    <row r="14" spans="1:5" x14ac:dyDescent="0.25">
      <c r="B14" s="6"/>
      <c r="C14" s="6"/>
      <c r="D14" s="6"/>
      <c r="E14" s="6"/>
    </row>
    <row r="15" spans="1:5" x14ac:dyDescent="0.25">
      <c r="B15" s="6"/>
      <c r="C15" s="6"/>
      <c r="D15" s="6"/>
      <c r="E15" s="6"/>
    </row>
    <row r="16" spans="1:5" x14ac:dyDescent="0.25">
      <c r="B16" s="6"/>
      <c r="C16" s="6"/>
      <c r="D16" s="6"/>
      <c r="E16" s="6"/>
    </row>
    <row r="17" spans="2:5" x14ac:dyDescent="0.25">
      <c r="B17" s="6"/>
      <c r="C17" s="6"/>
      <c r="D17" s="6"/>
      <c r="E17" s="6"/>
    </row>
    <row r="18" spans="2:5" x14ac:dyDescent="0.25">
      <c r="B18" s="6"/>
      <c r="C18" s="6"/>
      <c r="D18" s="6"/>
      <c r="E18" s="6"/>
    </row>
    <row r="19" spans="2:5" x14ac:dyDescent="0.25">
      <c r="B19" s="6"/>
      <c r="C19" s="6"/>
      <c r="D19" s="6"/>
      <c r="E19" s="6"/>
    </row>
    <row r="20" spans="2:5" x14ac:dyDescent="0.25">
      <c r="B20" s="6"/>
      <c r="C20" s="6"/>
      <c r="D20" s="6"/>
      <c r="E20" s="6"/>
    </row>
    <row r="21" spans="2:5" x14ac:dyDescent="0.25">
      <c r="B21" s="6"/>
      <c r="C21" s="6"/>
      <c r="D21" s="6"/>
      <c r="E21" s="6"/>
    </row>
    <row r="22" spans="2:5" x14ac:dyDescent="0.25">
      <c r="B22" s="6"/>
      <c r="C22" s="6"/>
      <c r="D22" s="6"/>
      <c r="E22" s="6"/>
    </row>
    <row r="23" spans="2:5" x14ac:dyDescent="0.25">
      <c r="B23" s="6"/>
      <c r="C23" s="6"/>
      <c r="D23" s="6"/>
      <c r="E23" s="6"/>
    </row>
    <row r="24" spans="2:5" x14ac:dyDescent="0.25">
      <c r="B24" s="6"/>
      <c r="C24" s="6"/>
      <c r="D24" s="6"/>
      <c r="E24" s="6"/>
    </row>
    <row r="25" spans="2:5" x14ac:dyDescent="0.25">
      <c r="B25" s="6"/>
      <c r="C25" s="6"/>
      <c r="D25" s="6"/>
      <c r="E25" s="6"/>
    </row>
    <row r="26" spans="2:5" x14ac:dyDescent="0.25">
      <c r="B26" s="6"/>
      <c r="C26" s="6"/>
      <c r="D26" s="6"/>
      <c r="E26" s="6"/>
    </row>
    <row r="27" spans="2:5" x14ac:dyDescent="0.25">
      <c r="B27" s="6"/>
      <c r="C27" s="6"/>
      <c r="D27" s="6"/>
      <c r="E27" s="6"/>
    </row>
    <row r="28" spans="2:5" x14ac:dyDescent="0.25">
      <c r="B28" s="6"/>
      <c r="C28" s="6"/>
      <c r="D28" s="6"/>
      <c r="E28" s="6"/>
    </row>
    <row r="29" spans="2:5" x14ac:dyDescent="0.25">
      <c r="B29" s="6"/>
      <c r="C29" s="6"/>
      <c r="D29" s="6"/>
      <c r="E29" s="6"/>
    </row>
    <row r="30" spans="2:5" x14ac:dyDescent="0.25">
      <c r="B30" s="6"/>
      <c r="C30" s="6"/>
      <c r="D30" s="6"/>
      <c r="E30" s="6"/>
    </row>
    <row r="31" spans="2:5" x14ac:dyDescent="0.25">
      <c r="B31" s="6"/>
      <c r="C31" s="6"/>
      <c r="D31" s="6"/>
      <c r="E31" s="6"/>
    </row>
    <row r="32" spans="2:5" x14ac:dyDescent="0.25">
      <c r="B32" s="6"/>
      <c r="C32" s="6"/>
      <c r="D32" s="6"/>
      <c r="E32" s="6"/>
    </row>
    <row r="33" spans="2:5" x14ac:dyDescent="0.25">
      <c r="B33" s="6"/>
      <c r="C33" s="6"/>
      <c r="D33" s="6"/>
      <c r="E33" s="6"/>
    </row>
    <row r="34" spans="2:5" x14ac:dyDescent="0.25">
      <c r="B34" s="6"/>
      <c r="C34" s="6"/>
      <c r="D34" s="6"/>
      <c r="E34" s="6"/>
    </row>
    <row r="35" spans="2:5" x14ac:dyDescent="0.25">
      <c r="B35" s="6"/>
      <c r="C35" s="6"/>
      <c r="D35" s="6"/>
      <c r="E35" s="6"/>
    </row>
    <row r="36" spans="2:5" x14ac:dyDescent="0.25">
      <c r="B36" s="6"/>
      <c r="C36" s="6"/>
      <c r="D36" s="6"/>
      <c r="E36" s="6"/>
    </row>
    <row r="37" spans="2:5" x14ac:dyDescent="0.25">
      <c r="B37" s="6"/>
      <c r="C37" s="6"/>
      <c r="D37" s="6"/>
      <c r="E37" s="6"/>
    </row>
    <row r="38" spans="2:5" x14ac:dyDescent="0.25">
      <c r="B38" s="6"/>
      <c r="C38" s="6"/>
      <c r="D38" s="6"/>
      <c r="E38" s="6"/>
    </row>
    <row r="39" spans="2:5" x14ac:dyDescent="0.25">
      <c r="B39" s="6"/>
      <c r="C39" s="6"/>
      <c r="D39" s="6"/>
      <c r="E39" s="6"/>
    </row>
    <row r="40" spans="2:5" x14ac:dyDescent="0.25">
      <c r="B40" s="6"/>
      <c r="C40" s="6"/>
      <c r="D40" s="6"/>
      <c r="E40" s="6"/>
    </row>
    <row r="41" spans="2:5" x14ac:dyDescent="0.25">
      <c r="B41" s="6"/>
      <c r="C41" s="6"/>
      <c r="D41" s="6"/>
      <c r="E41" s="6"/>
    </row>
    <row r="42" spans="2:5" x14ac:dyDescent="0.25">
      <c r="B42" s="6"/>
      <c r="C42" s="6"/>
      <c r="D42" s="6"/>
      <c r="E42" s="6"/>
    </row>
    <row r="43" spans="2:5" x14ac:dyDescent="0.25">
      <c r="B43" s="6"/>
      <c r="C43" s="6"/>
      <c r="D43" s="6"/>
      <c r="E43" s="6"/>
    </row>
    <row r="44" spans="2:5" x14ac:dyDescent="0.25">
      <c r="B44" s="6"/>
      <c r="C44" s="6"/>
      <c r="D44" s="6"/>
      <c r="E44" s="6"/>
    </row>
    <row r="45" spans="2:5" x14ac:dyDescent="0.25">
      <c r="B45" s="6"/>
      <c r="C45" s="6"/>
      <c r="D45" s="6"/>
      <c r="E45" s="6"/>
    </row>
    <row r="46" spans="2:5" x14ac:dyDescent="0.25">
      <c r="B46" s="6"/>
      <c r="C46" s="6"/>
      <c r="D46" s="6"/>
      <c r="E46" s="6"/>
    </row>
    <row r="47" spans="2:5" x14ac:dyDescent="0.25">
      <c r="B47" s="6"/>
      <c r="C47" s="6"/>
      <c r="D47" s="6"/>
      <c r="E47" s="6"/>
    </row>
    <row r="48" spans="2:5" x14ac:dyDescent="0.25">
      <c r="B48" s="6"/>
      <c r="C48" s="6"/>
      <c r="D48" s="6"/>
      <c r="E48" s="6"/>
    </row>
    <row r="49" spans="2:5" x14ac:dyDescent="0.25">
      <c r="B49" s="6"/>
      <c r="C49" s="6"/>
      <c r="D49" s="6"/>
      <c r="E49" s="6"/>
    </row>
    <row r="50" spans="2:5" x14ac:dyDescent="0.25">
      <c r="B50" s="6"/>
      <c r="C50" s="6"/>
      <c r="D50" s="6"/>
      <c r="E50" s="6"/>
    </row>
    <row r="51" spans="2:5" x14ac:dyDescent="0.25">
      <c r="B51" s="6"/>
      <c r="C51" s="6"/>
      <c r="D51" s="6"/>
      <c r="E51" s="6"/>
    </row>
    <row r="52" spans="2:5" x14ac:dyDescent="0.25">
      <c r="B52" s="6"/>
      <c r="C52" s="6"/>
      <c r="D52" s="6"/>
      <c r="E52" s="6"/>
    </row>
    <row r="53" spans="2:5" x14ac:dyDescent="0.25">
      <c r="B53" s="6"/>
      <c r="C53" s="6"/>
      <c r="D53" s="6"/>
      <c r="E53" s="6"/>
    </row>
    <row r="54" spans="2:5" x14ac:dyDescent="0.25">
      <c r="B54" s="6"/>
      <c r="C54" s="6"/>
      <c r="D54" s="6"/>
      <c r="E54" s="6"/>
    </row>
    <row r="55" spans="2:5" x14ac:dyDescent="0.25">
      <c r="B55" s="6"/>
      <c r="C55" s="6"/>
      <c r="D55" s="6"/>
      <c r="E55" s="6"/>
    </row>
    <row r="56" spans="2:5" x14ac:dyDescent="0.25">
      <c r="B56" s="6"/>
      <c r="C56" s="6"/>
      <c r="D56" s="6"/>
      <c r="E56" s="6"/>
    </row>
    <row r="57" spans="2:5" x14ac:dyDescent="0.25">
      <c r="B57" s="6"/>
      <c r="C57" s="6"/>
      <c r="D57" s="6"/>
      <c r="E57" s="6"/>
    </row>
    <row r="58" spans="2:5" x14ac:dyDescent="0.25">
      <c r="B58" s="6"/>
      <c r="C58" s="6"/>
      <c r="D58" s="6"/>
      <c r="E58" s="6"/>
    </row>
    <row r="59" spans="2:5" x14ac:dyDescent="0.25">
      <c r="B59" s="6"/>
      <c r="C59" s="6"/>
      <c r="D59" s="6"/>
      <c r="E59" s="6"/>
    </row>
    <row r="60" spans="2:5" x14ac:dyDescent="0.25">
      <c r="B60" s="6"/>
      <c r="C60" s="6"/>
      <c r="D60" s="6"/>
      <c r="E60" s="6"/>
    </row>
    <row r="61" spans="2:5" x14ac:dyDescent="0.25">
      <c r="B61" s="6"/>
      <c r="C61" s="6"/>
      <c r="D61" s="6"/>
      <c r="E61" s="6"/>
    </row>
    <row r="62" spans="2:5" x14ac:dyDescent="0.25">
      <c r="B62" s="6"/>
      <c r="C62" s="6"/>
      <c r="D62" s="6"/>
      <c r="E62" s="6"/>
    </row>
    <row r="63" spans="2:5" x14ac:dyDescent="0.25">
      <c r="B63" s="6"/>
      <c r="C63" s="6"/>
      <c r="D63" s="6"/>
      <c r="E63" s="6"/>
    </row>
    <row r="64" spans="2:5" x14ac:dyDescent="0.25">
      <c r="B64" s="6"/>
      <c r="C64" s="6"/>
      <c r="D64" s="6"/>
      <c r="E64" s="6"/>
    </row>
    <row r="65" spans="2:5" x14ac:dyDescent="0.25">
      <c r="B65" s="6"/>
      <c r="C65" s="6"/>
      <c r="D65" s="6"/>
      <c r="E65" s="6"/>
    </row>
    <row r="66" spans="2:5" x14ac:dyDescent="0.25">
      <c r="B66" s="6"/>
      <c r="C66" s="6"/>
      <c r="D66" s="6"/>
      <c r="E66" s="6"/>
    </row>
    <row r="67" spans="2:5" x14ac:dyDescent="0.25">
      <c r="B67" s="6"/>
      <c r="C67" s="6"/>
      <c r="D67" s="6"/>
      <c r="E67" s="6"/>
    </row>
    <row r="68" spans="2:5" x14ac:dyDescent="0.25">
      <c r="B68" s="6"/>
      <c r="C68" s="6"/>
      <c r="D68" s="6"/>
      <c r="E68" s="6"/>
    </row>
    <row r="69" spans="2:5" x14ac:dyDescent="0.25">
      <c r="B69" s="6"/>
      <c r="C69" s="6"/>
      <c r="D69" s="6"/>
      <c r="E69" s="6"/>
    </row>
    <row r="70" spans="2:5" x14ac:dyDescent="0.25">
      <c r="B70" s="6"/>
      <c r="C70" s="6"/>
      <c r="D70" s="6"/>
      <c r="E70" s="6"/>
    </row>
    <row r="71" spans="2:5" x14ac:dyDescent="0.25">
      <c r="B71" s="6"/>
      <c r="C71" s="6"/>
      <c r="D71" s="6"/>
      <c r="E71" s="6"/>
    </row>
    <row r="72" spans="2:5" x14ac:dyDescent="0.25">
      <c r="B72" s="6"/>
      <c r="C72" s="6"/>
      <c r="D72" s="6"/>
      <c r="E72" s="6"/>
    </row>
    <row r="73" spans="2:5" x14ac:dyDescent="0.25">
      <c r="B73" s="6"/>
      <c r="C73" s="6"/>
      <c r="D73" s="6"/>
      <c r="E73" s="6"/>
    </row>
    <row r="74" spans="2:5" x14ac:dyDescent="0.25">
      <c r="B74" s="6"/>
      <c r="C74" s="6"/>
      <c r="D74" s="6"/>
      <c r="E74" s="6"/>
    </row>
    <row r="75" spans="2:5" x14ac:dyDescent="0.25">
      <c r="B75" s="6"/>
      <c r="C75" s="6"/>
      <c r="D75" s="6"/>
      <c r="E75" s="6"/>
    </row>
    <row r="76" spans="2:5" x14ac:dyDescent="0.25">
      <c r="B76" s="6"/>
      <c r="C76" s="6"/>
      <c r="D76" s="6"/>
      <c r="E76" s="6"/>
    </row>
    <row r="77" spans="2:5" x14ac:dyDescent="0.25">
      <c r="B77" s="6"/>
      <c r="C77" s="6"/>
      <c r="D77" s="6"/>
      <c r="E77" s="6"/>
    </row>
    <row r="78" spans="2:5" x14ac:dyDescent="0.25">
      <c r="B78" s="6"/>
      <c r="C78" s="6"/>
      <c r="D78" s="6"/>
      <c r="E78" s="6"/>
    </row>
    <row r="79" spans="2:5" x14ac:dyDescent="0.25">
      <c r="B79" s="6"/>
      <c r="C79" s="6"/>
      <c r="D79" s="6"/>
      <c r="E79" s="6"/>
    </row>
    <row r="80" spans="2:5" x14ac:dyDescent="0.25">
      <c r="B80" s="6"/>
      <c r="C80" s="6"/>
      <c r="D80" s="6"/>
      <c r="E80" s="6"/>
    </row>
    <row r="81" spans="2:5" x14ac:dyDescent="0.25">
      <c r="B81" s="6"/>
      <c r="C81" s="6"/>
      <c r="D81" s="6"/>
      <c r="E81" s="6"/>
    </row>
    <row r="82" spans="2:5" x14ac:dyDescent="0.25">
      <c r="B82" s="6"/>
      <c r="C82" s="6"/>
      <c r="D82" s="6"/>
      <c r="E82" s="6"/>
    </row>
    <row r="83" spans="2:5" x14ac:dyDescent="0.25">
      <c r="B83" s="6"/>
      <c r="C83" s="6"/>
      <c r="D83" s="6"/>
      <c r="E83" s="6"/>
    </row>
    <row r="84" spans="2:5" x14ac:dyDescent="0.25">
      <c r="B84" s="6"/>
      <c r="C84" s="6"/>
      <c r="D84" s="6"/>
      <c r="E84" s="6"/>
    </row>
    <row r="85" spans="2:5" x14ac:dyDescent="0.25">
      <c r="B85" s="6"/>
      <c r="C85" s="6"/>
      <c r="D85" s="6"/>
      <c r="E85" s="6"/>
    </row>
    <row r="86" spans="2:5" x14ac:dyDescent="0.25">
      <c r="B86" s="6"/>
      <c r="C86" s="6"/>
      <c r="D86" s="6"/>
      <c r="E86" s="6"/>
    </row>
    <row r="87" spans="2:5" x14ac:dyDescent="0.25">
      <c r="B87" s="6"/>
      <c r="C87" s="6"/>
      <c r="D87" s="6"/>
      <c r="E87" s="6"/>
    </row>
    <row r="88" spans="2:5" x14ac:dyDescent="0.25">
      <c r="B88" s="6"/>
      <c r="C88" s="6"/>
      <c r="D88" s="6"/>
      <c r="E88" s="6"/>
    </row>
    <row r="89" spans="2:5" x14ac:dyDescent="0.25">
      <c r="B89" s="6"/>
      <c r="C89" s="6"/>
      <c r="D89" s="6"/>
      <c r="E89" s="6"/>
    </row>
    <row r="90" spans="2:5" x14ac:dyDescent="0.25">
      <c r="B90" s="6"/>
      <c r="C90" s="6"/>
      <c r="D90" s="6"/>
      <c r="E90" s="6"/>
    </row>
    <row r="91" spans="2:5" x14ac:dyDescent="0.25">
      <c r="B91" s="6"/>
      <c r="C91" s="6"/>
      <c r="D91" s="6"/>
      <c r="E91" s="6"/>
    </row>
    <row r="92" spans="2:5" x14ac:dyDescent="0.25">
      <c r="B92" s="6"/>
      <c r="C92" s="6"/>
      <c r="D92" s="6"/>
      <c r="E92" s="6"/>
    </row>
    <row r="93" spans="2:5" x14ac:dyDescent="0.25">
      <c r="B93" s="6"/>
      <c r="C93" s="6"/>
      <c r="D93" s="6"/>
      <c r="E93" s="6"/>
    </row>
    <row r="94" spans="2:5" x14ac:dyDescent="0.25">
      <c r="B94" s="6"/>
      <c r="C94" s="6"/>
      <c r="D94" s="6"/>
      <c r="E94" s="6"/>
    </row>
    <row r="95" spans="2:5" x14ac:dyDescent="0.25">
      <c r="B95" s="6"/>
      <c r="C95" s="6"/>
      <c r="D95" s="6"/>
      <c r="E95" s="6"/>
    </row>
    <row r="96" spans="2:5" x14ac:dyDescent="0.25">
      <c r="B96" s="6"/>
      <c r="C96" s="6"/>
      <c r="D96" s="6"/>
      <c r="E96" s="6"/>
    </row>
    <row r="97" spans="2:5" x14ac:dyDescent="0.25">
      <c r="B97" s="6"/>
      <c r="C97" s="6"/>
      <c r="D97" s="6"/>
      <c r="E97" s="6"/>
    </row>
    <row r="98" spans="2:5" x14ac:dyDescent="0.25">
      <c r="B98" s="6"/>
      <c r="C98" s="6"/>
      <c r="D98" s="6"/>
      <c r="E98" s="6"/>
    </row>
    <row r="99" spans="2:5" x14ac:dyDescent="0.25">
      <c r="B99" s="6"/>
      <c r="C99" s="6"/>
      <c r="D99" s="6"/>
      <c r="E99" s="6"/>
    </row>
    <row r="100" spans="2:5" x14ac:dyDescent="0.25">
      <c r="B100" s="6"/>
      <c r="C100" s="6"/>
      <c r="D100" s="6"/>
      <c r="E100" s="6"/>
    </row>
    <row r="101" spans="2:5" x14ac:dyDescent="0.25">
      <c r="B101" s="6"/>
      <c r="C101" s="6"/>
      <c r="D101" s="6"/>
      <c r="E101" s="6"/>
    </row>
    <row r="102" spans="2:5" x14ac:dyDescent="0.25">
      <c r="B102" s="6"/>
      <c r="C102" s="6"/>
      <c r="D102" s="6"/>
      <c r="E102" s="6"/>
    </row>
    <row r="103" spans="2:5" x14ac:dyDescent="0.25">
      <c r="B103" s="6"/>
      <c r="C103" s="6"/>
      <c r="D103" s="6"/>
      <c r="E103" s="6"/>
    </row>
    <row r="104" spans="2:5" x14ac:dyDescent="0.25">
      <c r="B104" s="6"/>
      <c r="C104" s="6"/>
      <c r="D104" s="6"/>
      <c r="E104" s="6"/>
    </row>
    <row r="105" spans="2:5" x14ac:dyDescent="0.25">
      <c r="B105" s="6"/>
      <c r="C105" s="6"/>
      <c r="D105" s="6"/>
      <c r="E105" s="6"/>
    </row>
    <row r="106" spans="2:5" x14ac:dyDescent="0.25">
      <c r="B106" s="6"/>
      <c r="C106" s="6"/>
      <c r="D106" s="6"/>
      <c r="E106" s="6"/>
    </row>
    <row r="107" spans="2:5" x14ac:dyDescent="0.25">
      <c r="B107" s="6"/>
      <c r="C107" s="6"/>
      <c r="D107" s="6"/>
      <c r="E107" s="6"/>
    </row>
    <row r="108" spans="2:5" x14ac:dyDescent="0.25">
      <c r="B108" s="6"/>
      <c r="C108" s="6"/>
      <c r="D108" s="6"/>
      <c r="E108" s="6"/>
    </row>
    <row r="109" spans="2:5" x14ac:dyDescent="0.25">
      <c r="B109" s="6"/>
      <c r="C109" s="6"/>
      <c r="D109" s="6"/>
      <c r="E109" s="6"/>
    </row>
    <row r="110" spans="2:5" x14ac:dyDescent="0.25">
      <c r="B110" s="6"/>
      <c r="C110" s="6"/>
      <c r="D110" s="6"/>
      <c r="E110" s="6"/>
    </row>
    <row r="111" spans="2:5" x14ac:dyDescent="0.25">
      <c r="B111" s="6"/>
      <c r="C111" s="6"/>
      <c r="D111" s="6"/>
      <c r="E111" s="6"/>
    </row>
    <row r="112" spans="2:5" x14ac:dyDescent="0.25">
      <c r="B112" s="6"/>
      <c r="C112" s="6"/>
      <c r="D112" s="6"/>
      <c r="E112" s="6"/>
    </row>
    <row r="113" spans="2:5" x14ac:dyDescent="0.25">
      <c r="B113" s="6"/>
      <c r="C113" s="6"/>
      <c r="D113" s="6"/>
      <c r="E113" s="6"/>
    </row>
    <row r="114" spans="2:5" x14ac:dyDescent="0.25">
      <c r="B114" s="6"/>
      <c r="C114" s="6"/>
      <c r="D114" s="6"/>
      <c r="E114" s="6"/>
    </row>
    <row r="115" spans="2:5" x14ac:dyDescent="0.25">
      <c r="B115" s="6"/>
      <c r="C115" s="6"/>
      <c r="D115" s="6"/>
      <c r="E115" s="6"/>
    </row>
    <row r="116" spans="2:5" x14ac:dyDescent="0.25">
      <c r="B116" s="6"/>
      <c r="C116" s="6"/>
      <c r="D116" s="6"/>
      <c r="E116" s="6"/>
    </row>
    <row r="117" spans="2:5" x14ac:dyDescent="0.25">
      <c r="B117" s="6"/>
      <c r="C117" s="6"/>
      <c r="D117" s="6"/>
      <c r="E117" s="6"/>
    </row>
    <row r="118" spans="2:5" x14ac:dyDescent="0.25">
      <c r="B118" s="6"/>
      <c r="C118" s="6"/>
      <c r="D118" s="6"/>
      <c r="E118" s="6"/>
    </row>
    <row r="119" spans="2:5" x14ac:dyDescent="0.25">
      <c r="B119" s="6"/>
      <c r="C119" s="6"/>
      <c r="D119" s="6"/>
      <c r="E119" s="6"/>
    </row>
    <row r="120" spans="2:5" x14ac:dyDescent="0.25">
      <c r="B120" s="6"/>
      <c r="C120" s="6"/>
      <c r="D120" s="6"/>
      <c r="E120" s="6"/>
    </row>
    <row r="121" spans="2:5" x14ac:dyDescent="0.25">
      <c r="B121" s="6"/>
      <c r="C121" s="6"/>
      <c r="D121" s="6"/>
      <c r="E121" s="6"/>
    </row>
    <row r="122" spans="2:5" x14ac:dyDescent="0.25">
      <c r="B122" s="6"/>
      <c r="C122" s="6"/>
      <c r="D122" s="6"/>
      <c r="E122" s="6"/>
    </row>
    <row r="123" spans="2:5" x14ac:dyDescent="0.25">
      <c r="B123" s="6"/>
      <c r="C123" s="6"/>
      <c r="D123" s="6"/>
      <c r="E123" s="6"/>
    </row>
    <row r="124" spans="2:5" x14ac:dyDescent="0.25">
      <c r="B124" s="6"/>
      <c r="C124" s="6"/>
      <c r="D124" s="6"/>
      <c r="E124" s="6"/>
    </row>
    <row r="125" spans="2:5" x14ac:dyDescent="0.25">
      <c r="B125" s="6"/>
      <c r="C125" s="6"/>
      <c r="D125" s="6"/>
      <c r="E125" s="6"/>
    </row>
    <row r="126" spans="2:5" x14ac:dyDescent="0.25">
      <c r="B126" s="6"/>
      <c r="C126" s="6"/>
      <c r="D126" s="6"/>
      <c r="E126" s="6"/>
    </row>
    <row r="127" spans="2:5" x14ac:dyDescent="0.25">
      <c r="B127" s="6"/>
      <c r="C127" s="6"/>
      <c r="D127" s="6"/>
      <c r="E127" s="6"/>
    </row>
    <row r="128" spans="2:5" x14ac:dyDescent="0.25">
      <c r="B128" s="6"/>
      <c r="C128" s="6"/>
      <c r="D128" s="6"/>
      <c r="E128" s="6"/>
    </row>
    <row r="129" spans="2:5" x14ac:dyDescent="0.25">
      <c r="B129" s="6"/>
      <c r="C129" s="6"/>
      <c r="D129" s="6"/>
      <c r="E129" s="6"/>
    </row>
    <row r="130" spans="2:5" x14ac:dyDescent="0.25">
      <c r="B130" s="6"/>
      <c r="C130" s="6"/>
      <c r="D130" s="6"/>
      <c r="E130" s="6"/>
    </row>
    <row r="131" spans="2:5" x14ac:dyDescent="0.25">
      <c r="B131" s="6"/>
      <c r="C131" s="6"/>
      <c r="D131" s="6"/>
      <c r="E131" s="6"/>
    </row>
    <row r="132" spans="2:5" x14ac:dyDescent="0.25">
      <c r="B132" s="6"/>
      <c r="C132" s="6"/>
      <c r="D132" s="6"/>
      <c r="E132" s="6"/>
    </row>
    <row r="133" spans="2:5" x14ac:dyDescent="0.25">
      <c r="B133" s="6"/>
      <c r="C133" s="6"/>
      <c r="D133" s="6"/>
      <c r="E133" s="6"/>
    </row>
    <row r="134" spans="2:5" x14ac:dyDescent="0.25">
      <c r="B134" s="6"/>
      <c r="C134" s="6"/>
      <c r="D134" s="6"/>
      <c r="E134" s="6"/>
    </row>
    <row r="135" spans="2:5" x14ac:dyDescent="0.25">
      <c r="B135" s="6"/>
      <c r="C135" s="6"/>
      <c r="D135" s="6"/>
      <c r="E135" s="6"/>
    </row>
    <row r="136" spans="2:5" x14ac:dyDescent="0.25">
      <c r="B136" s="6"/>
      <c r="C136" s="6"/>
      <c r="D136" s="6"/>
      <c r="E136" s="6"/>
    </row>
    <row r="137" spans="2:5" x14ac:dyDescent="0.25">
      <c r="B137" s="6"/>
      <c r="C137" s="6"/>
      <c r="D137" s="6"/>
      <c r="E137" s="6"/>
    </row>
    <row r="138" spans="2:5" x14ac:dyDescent="0.25">
      <c r="B138" s="6"/>
      <c r="C138" s="6"/>
      <c r="D138" s="6"/>
      <c r="E138" s="6"/>
    </row>
    <row r="139" spans="2:5" x14ac:dyDescent="0.25">
      <c r="B139" s="6"/>
      <c r="C139" s="6"/>
      <c r="D139" s="6"/>
      <c r="E139" s="6"/>
    </row>
    <row r="140" spans="2:5" x14ac:dyDescent="0.25">
      <c r="B140" s="6"/>
      <c r="C140" s="6"/>
      <c r="D140" s="6"/>
      <c r="E140" s="6"/>
    </row>
    <row r="141" spans="2:5" x14ac:dyDescent="0.25">
      <c r="B141" s="6"/>
      <c r="C141" s="6"/>
      <c r="D141" s="6"/>
      <c r="E141" s="6"/>
    </row>
    <row r="142" spans="2:5" x14ac:dyDescent="0.25">
      <c r="B142" s="6"/>
      <c r="C142" s="6"/>
      <c r="D142" s="6"/>
      <c r="E142" s="6"/>
    </row>
    <row r="143" spans="2:5" x14ac:dyDescent="0.25">
      <c r="B143" s="6"/>
      <c r="C143" s="6"/>
      <c r="D143" s="6"/>
      <c r="E143" s="6"/>
    </row>
    <row r="144" spans="2:5" x14ac:dyDescent="0.25">
      <c r="B144" s="6"/>
      <c r="C144" s="6"/>
      <c r="D144" s="6"/>
      <c r="E144" s="6"/>
    </row>
    <row r="145" spans="2:5" x14ac:dyDescent="0.25">
      <c r="B145" s="6"/>
      <c r="C145" s="6"/>
      <c r="D145" s="6"/>
      <c r="E145" s="6"/>
    </row>
    <row r="146" spans="2:5" x14ac:dyDescent="0.25">
      <c r="B146" s="6"/>
      <c r="C146" s="6"/>
      <c r="D146" s="6"/>
      <c r="E146" s="6"/>
    </row>
    <row r="147" spans="2:5" x14ac:dyDescent="0.25">
      <c r="B147" s="6"/>
      <c r="C147" s="6"/>
      <c r="D147" s="6"/>
      <c r="E147" s="6"/>
    </row>
    <row r="148" spans="2:5" x14ac:dyDescent="0.25">
      <c r="B148" s="6"/>
      <c r="C148" s="6"/>
      <c r="D148" s="6"/>
      <c r="E148" s="6"/>
    </row>
    <row r="149" spans="2:5" x14ac:dyDescent="0.25">
      <c r="B149" s="6"/>
      <c r="C149" s="6"/>
      <c r="D149" s="6"/>
      <c r="E149" s="6"/>
    </row>
    <row r="150" spans="2:5" x14ac:dyDescent="0.25">
      <c r="B150" s="6"/>
      <c r="C150" s="6"/>
      <c r="D150" s="6"/>
      <c r="E150" s="6"/>
    </row>
    <row r="151" spans="2:5" x14ac:dyDescent="0.25">
      <c r="B151" s="6"/>
      <c r="C151" s="6"/>
      <c r="D151" s="6"/>
      <c r="E151" s="6"/>
    </row>
    <row r="152" spans="2:5" x14ac:dyDescent="0.25">
      <c r="B152" s="6"/>
      <c r="C152" s="6"/>
      <c r="D152" s="6"/>
      <c r="E152" s="6"/>
    </row>
    <row r="153" spans="2:5" x14ac:dyDescent="0.25">
      <c r="B153" s="6"/>
      <c r="C153" s="6"/>
      <c r="D153" s="6"/>
      <c r="E153" s="6"/>
    </row>
    <row r="154" spans="2:5" x14ac:dyDescent="0.25">
      <c r="B154" s="6"/>
      <c r="C154" s="6"/>
      <c r="D154" s="6"/>
      <c r="E154" s="6"/>
    </row>
    <row r="155" spans="2:5" x14ac:dyDescent="0.25">
      <c r="B155" s="6"/>
      <c r="C155" s="6"/>
      <c r="D155" s="6"/>
      <c r="E155" s="6"/>
    </row>
    <row r="156" spans="2:5" x14ac:dyDescent="0.25">
      <c r="B156" s="6"/>
      <c r="C156" s="6"/>
      <c r="D156" s="6"/>
      <c r="E156" s="6"/>
    </row>
    <row r="157" spans="2:5" x14ac:dyDescent="0.25">
      <c r="B157" s="6"/>
      <c r="C157" s="6"/>
      <c r="D157" s="6"/>
      <c r="E157" s="6"/>
    </row>
    <row r="158" spans="2:5" x14ac:dyDescent="0.25">
      <c r="B158" s="6"/>
      <c r="C158" s="6"/>
      <c r="D158" s="6"/>
      <c r="E158" s="6"/>
    </row>
    <row r="159" spans="2:5" x14ac:dyDescent="0.25">
      <c r="B159" s="6"/>
      <c r="C159" s="6"/>
      <c r="D159" s="6"/>
      <c r="E159" s="6"/>
    </row>
    <row r="160" spans="2:5" x14ac:dyDescent="0.25">
      <c r="B160" s="6"/>
      <c r="C160" s="6"/>
      <c r="D160" s="6"/>
      <c r="E160" s="6"/>
    </row>
    <row r="161" spans="2:5" x14ac:dyDescent="0.25">
      <c r="B161" s="6"/>
      <c r="C161" s="6"/>
      <c r="D161" s="6"/>
      <c r="E161" s="6"/>
    </row>
    <row r="162" spans="2:5" x14ac:dyDescent="0.25">
      <c r="B162" s="6"/>
      <c r="C162" s="6"/>
      <c r="D162" s="6"/>
      <c r="E162" s="6"/>
    </row>
    <row r="163" spans="2:5" x14ac:dyDescent="0.25">
      <c r="B163" s="6"/>
      <c r="C163" s="6"/>
      <c r="D163" s="6"/>
      <c r="E163" s="6"/>
    </row>
    <row r="164" spans="2:5" x14ac:dyDescent="0.25">
      <c r="B164" s="6"/>
      <c r="C164" s="6"/>
      <c r="D164" s="6"/>
      <c r="E164" s="6"/>
    </row>
    <row r="165" spans="2:5" x14ac:dyDescent="0.25">
      <c r="B165" s="6"/>
      <c r="C165" s="6"/>
      <c r="D165" s="6"/>
      <c r="E165" s="6"/>
    </row>
    <row r="166" spans="2:5" x14ac:dyDescent="0.25">
      <c r="B166" s="6"/>
      <c r="C166" s="6"/>
      <c r="D166" s="6"/>
      <c r="E166" s="6"/>
    </row>
    <row r="167" spans="2:5" x14ac:dyDescent="0.25">
      <c r="B167" s="6"/>
      <c r="C167" s="6"/>
      <c r="D167" s="6"/>
      <c r="E167" s="6"/>
    </row>
    <row r="168" spans="2:5" x14ac:dyDescent="0.25">
      <c r="B168" s="6"/>
      <c r="C168" s="6"/>
      <c r="D168" s="6"/>
      <c r="E168" s="6"/>
    </row>
    <row r="169" spans="2:5" x14ac:dyDescent="0.25">
      <c r="B169" s="6"/>
      <c r="C169" s="6"/>
      <c r="D169" s="6"/>
      <c r="E169" s="6"/>
    </row>
    <row r="170" spans="2:5" x14ac:dyDescent="0.25">
      <c r="B170" s="6"/>
      <c r="C170" s="6"/>
      <c r="D170" s="6"/>
      <c r="E170" s="6"/>
    </row>
    <row r="171" spans="2:5" x14ac:dyDescent="0.25">
      <c r="B171" s="6"/>
      <c r="C171" s="6"/>
      <c r="D171" s="6"/>
      <c r="E171" s="6"/>
    </row>
    <row r="172" spans="2:5" x14ac:dyDescent="0.25">
      <c r="B172" s="6"/>
      <c r="C172" s="6"/>
      <c r="D172" s="6"/>
      <c r="E172" s="6"/>
    </row>
    <row r="173" spans="2:5" x14ac:dyDescent="0.25">
      <c r="B173" s="6"/>
      <c r="C173" s="6"/>
      <c r="D173" s="6"/>
      <c r="E173" s="6"/>
    </row>
    <row r="174" spans="2:5" x14ac:dyDescent="0.25">
      <c r="B174" s="6"/>
      <c r="C174" s="6"/>
      <c r="D174" s="6"/>
      <c r="E174" s="6"/>
    </row>
    <row r="175" spans="2:5" x14ac:dyDescent="0.25">
      <c r="B175" s="6"/>
      <c r="C175" s="6"/>
      <c r="D175" s="6"/>
      <c r="E175" s="6"/>
    </row>
    <row r="176" spans="2:5" x14ac:dyDescent="0.25">
      <c r="B176" s="6"/>
      <c r="C176" s="6"/>
      <c r="D176" s="6"/>
      <c r="E176" s="6"/>
    </row>
    <row r="177" spans="2:5" x14ac:dyDescent="0.25">
      <c r="B177" s="6"/>
      <c r="C177" s="6"/>
      <c r="D177" s="6"/>
      <c r="E177" s="6"/>
    </row>
    <row r="178" spans="2:5" x14ac:dyDescent="0.25">
      <c r="B178" s="6"/>
      <c r="C178" s="6"/>
      <c r="D178" s="6"/>
      <c r="E178" s="6"/>
    </row>
    <row r="179" spans="2:5" x14ac:dyDescent="0.25">
      <c r="B179" s="6"/>
      <c r="C179" s="6"/>
      <c r="D179" s="6"/>
      <c r="E179" s="6"/>
    </row>
    <row r="180" spans="2:5" x14ac:dyDescent="0.25">
      <c r="B180" s="6"/>
      <c r="C180" s="6"/>
      <c r="D180" s="6"/>
      <c r="E180" s="6"/>
    </row>
    <row r="181" spans="2:5" x14ac:dyDescent="0.25">
      <c r="B181" s="6"/>
      <c r="C181" s="6"/>
      <c r="D181" s="6"/>
      <c r="E181" s="6"/>
    </row>
    <row r="182" spans="2:5" x14ac:dyDescent="0.25">
      <c r="B182" s="6"/>
      <c r="C182" s="6"/>
      <c r="D182" s="6"/>
      <c r="E182" s="6"/>
    </row>
    <row r="183" spans="2:5" x14ac:dyDescent="0.25">
      <c r="B183" s="6"/>
      <c r="C183" s="6"/>
      <c r="D183" s="6"/>
      <c r="E183" s="6"/>
    </row>
    <row r="184" spans="2:5" x14ac:dyDescent="0.25">
      <c r="B184" s="6"/>
      <c r="C184" s="6"/>
      <c r="D184" s="6"/>
      <c r="E184" s="6"/>
    </row>
    <row r="185" spans="2:5" x14ac:dyDescent="0.25">
      <c r="B185" s="6"/>
      <c r="C185" s="6"/>
      <c r="D185" s="6"/>
      <c r="E185" s="6"/>
    </row>
    <row r="186" spans="2:5" x14ac:dyDescent="0.25">
      <c r="B186" s="6"/>
      <c r="C186" s="6"/>
      <c r="D186" s="6"/>
      <c r="E186" s="6"/>
    </row>
    <row r="187" spans="2:5" x14ac:dyDescent="0.25">
      <c r="B187" s="6"/>
      <c r="C187" s="6"/>
      <c r="D187" s="6"/>
      <c r="E187" s="6"/>
    </row>
    <row r="188" spans="2:5" x14ac:dyDescent="0.25">
      <c r="B188" s="6"/>
      <c r="C188" s="6"/>
      <c r="D188" s="6"/>
      <c r="E188" s="6"/>
    </row>
    <row r="189" spans="2:5" x14ac:dyDescent="0.25">
      <c r="B189" s="6"/>
      <c r="C189" s="6"/>
      <c r="D189" s="6"/>
      <c r="E189" s="6"/>
    </row>
    <row r="190" spans="2:5" x14ac:dyDescent="0.25">
      <c r="B190" s="6"/>
      <c r="C190" s="6"/>
      <c r="D190" s="6"/>
      <c r="E190" s="6"/>
    </row>
    <row r="191" spans="2:5" x14ac:dyDescent="0.25">
      <c r="B191" s="6"/>
      <c r="C191" s="6"/>
      <c r="D191" s="6"/>
      <c r="E191" s="6"/>
    </row>
    <row r="192" spans="2:5" x14ac:dyDescent="0.25">
      <c r="B192" s="6"/>
      <c r="C192" s="6"/>
      <c r="D192" s="6"/>
      <c r="E192" s="6"/>
    </row>
    <row r="193" spans="2:5" x14ac:dyDescent="0.25">
      <c r="B193" s="6"/>
      <c r="C193" s="6"/>
      <c r="D193" s="6"/>
      <c r="E193" s="6"/>
    </row>
    <row r="194" spans="2:5" x14ac:dyDescent="0.25">
      <c r="B194" s="6"/>
      <c r="C194" s="6"/>
      <c r="D194" s="6"/>
      <c r="E194" s="6"/>
    </row>
    <row r="195" spans="2:5" x14ac:dyDescent="0.25">
      <c r="B195" s="6"/>
      <c r="C195" s="6"/>
      <c r="D195" s="6"/>
      <c r="E195" s="6"/>
    </row>
    <row r="196" spans="2:5" x14ac:dyDescent="0.25">
      <c r="B196" s="6"/>
      <c r="C196" s="6"/>
      <c r="D196" s="6"/>
      <c r="E196" s="6"/>
    </row>
    <row r="197" spans="2:5" x14ac:dyDescent="0.25">
      <c r="B197" s="6"/>
      <c r="C197" s="6"/>
      <c r="D197" s="6"/>
      <c r="E197" s="6"/>
    </row>
    <row r="198" spans="2:5" x14ac:dyDescent="0.25">
      <c r="B198" s="6"/>
      <c r="C198" s="6"/>
      <c r="D198" s="6"/>
      <c r="E198" s="6"/>
    </row>
    <row r="199" spans="2:5" x14ac:dyDescent="0.25">
      <c r="B199" s="6"/>
      <c r="C199" s="6"/>
      <c r="D199" s="6"/>
      <c r="E199" s="6"/>
    </row>
    <row r="200" spans="2:5" x14ac:dyDescent="0.25">
      <c r="B200" s="6"/>
      <c r="C200" s="6"/>
      <c r="D200" s="6"/>
      <c r="E200" s="6"/>
    </row>
    <row r="201" spans="2:5" x14ac:dyDescent="0.25">
      <c r="B201" s="6"/>
      <c r="C201" s="6"/>
      <c r="D201" s="6"/>
      <c r="E201" s="6"/>
    </row>
    <row r="202" spans="2:5" x14ac:dyDescent="0.25">
      <c r="B202" s="6"/>
      <c r="C202" s="6"/>
      <c r="D202" s="6"/>
      <c r="E202" s="6"/>
    </row>
    <row r="203" spans="2:5" x14ac:dyDescent="0.25">
      <c r="B203" s="6"/>
      <c r="C203" s="6"/>
      <c r="D203" s="6"/>
      <c r="E203" s="6"/>
    </row>
    <row r="204" spans="2:5" x14ac:dyDescent="0.25">
      <c r="B204" s="6"/>
      <c r="C204" s="6"/>
      <c r="D204" s="6"/>
      <c r="E204" s="6"/>
    </row>
    <row r="205" spans="2:5" x14ac:dyDescent="0.25">
      <c r="B205" s="6"/>
      <c r="C205" s="6"/>
      <c r="D205" s="6"/>
      <c r="E205" s="6"/>
    </row>
    <row r="206" spans="2:5" x14ac:dyDescent="0.25">
      <c r="B206" s="6"/>
      <c r="C206" s="6"/>
      <c r="D206" s="6"/>
      <c r="E206" s="6"/>
    </row>
    <row r="207" spans="2:5" x14ac:dyDescent="0.25">
      <c r="B207" s="6"/>
      <c r="C207" s="6"/>
      <c r="D207" s="6"/>
      <c r="E207" s="6"/>
    </row>
    <row r="208" spans="2:5" x14ac:dyDescent="0.25">
      <c r="B208" s="6"/>
      <c r="C208" s="6"/>
      <c r="D208" s="6"/>
      <c r="E208" s="6"/>
    </row>
    <row r="209" spans="2:5" x14ac:dyDescent="0.25">
      <c r="B209" s="6"/>
      <c r="C209" s="6"/>
      <c r="D209" s="6"/>
      <c r="E209" s="6"/>
    </row>
    <row r="210" spans="2:5" x14ac:dyDescent="0.25">
      <c r="B210" s="6"/>
      <c r="C210" s="6"/>
      <c r="D210" s="6"/>
      <c r="E210" s="6"/>
    </row>
    <row r="211" spans="2:5" x14ac:dyDescent="0.25">
      <c r="B211" s="6"/>
      <c r="C211" s="6"/>
      <c r="D211" s="6"/>
      <c r="E211" s="6"/>
    </row>
    <row r="212" spans="2:5" x14ac:dyDescent="0.25">
      <c r="B212" s="6"/>
      <c r="C212" s="6"/>
      <c r="D212" s="6"/>
      <c r="E212" s="6"/>
    </row>
    <row r="213" spans="2:5" x14ac:dyDescent="0.25">
      <c r="B213" s="6"/>
      <c r="C213" s="6"/>
      <c r="D213" s="6"/>
      <c r="E213" s="6"/>
    </row>
    <row r="214" spans="2:5" x14ac:dyDescent="0.25">
      <c r="B214" s="6"/>
      <c r="C214" s="6"/>
      <c r="D214" s="6"/>
      <c r="E214" s="6"/>
    </row>
    <row r="215" spans="2:5" x14ac:dyDescent="0.25">
      <c r="B215" s="6"/>
      <c r="C215" s="6"/>
      <c r="D215" s="6"/>
      <c r="E215" s="6"/>
    </row>
    <row r="216" spans="2:5" x14ac:dyDescent="0.25">
      <c r="B216" s="6"/>
      <c r="C216" s="6"/>
      <c r="D216" s="6"/>
      <c r="E216" s="6"/>
    </row>
    <row r="217" spans="2:5" x14ac:dyDescent="0.25">
      <c r="B217" s="6"/>
      <c r="C217" s="6"/>
      <c r="D217" s="6"/>
      <c r="E217" s="6"/>
    </row>
    <row r="218" spans="2:5" x14ac:dyDescent="0.25">
      <c r="B218" s="6"/>
      <c r="C218" s="6"/>
      <c r="D218" s="6"/>
      <c r="E218" s="6"/>
    </row>
    <row r="219" spans="2:5" x14ac:dyDescent="0.25">
      <c r="B219" s="6"/>
      <c r="C219" s="6"/>
      <c r="D219" s="6"/>
      <c r="E219" s="6"/>
    </row>
    <row r="220" spans="2:5" x14ac:dyDescent="0.25">
      <c r="B220" s="6"/>
      <c r="C220" s="6"/>
      <c r="D220" s="6"/>
      <c r="E220" s="6"/>
    </row>
    <row r="221" spans="2:5" x14ac:dyDescent="0.25">
      <c r="B221" s="6"/>
      <c r="C221" s="6"/>
      <c r="D221" s="6"/>
      <c r="E221" s="6"/>
    </row>
    <row r="222" spans="2:5" x14ac:dyDescent="0.25">
      <c r="B222" s="6"/>
      <c r="C222" s="6"/>
      <c r="D222" s="6"/>
      <c r="E222" s="6"/>
    </row>
    <row r="223" spans="2:5" x14ac:dyDescent="0.25">
      <c r="B223" s="6"/>
      <c r="C223" s="6"/>
      <c r="D223" s="6"/>
      <c r="E223" s="6"/>
    </row>
    <row r="224" spans="2:5" x14ac:dyDescent="0.25">
      <c r="B224" s="6"/>
      <c r="C224" s="6"/>
      <c r="D224" s="6"/>
      <c r="E224" s="6"/>
    </row>
    <row r="225" spans="2:5" x14ac:dyDescent="0.25">
      <c r="B225" s="6"/>
      <c r="C225" s="6"/>
      <c r="D225" s="6"/>
      <c r="E225" s="6"/>
    </row>
    <row r="226" spans="2:5" x14ac:dyDescent="0.25">
      <c r="B226" s="6"/>
      <c r="C226" s="6"/>
      <c r="D226" s="6"/>
      <c r="E226" s="6"/>
    </row>
    <row r="227" spans="2:5" x14ac:dyDescent="0.25">
      <c r="B227" s="6"/>
      <c r="C227" s="6"/>
      <c r="D227" s="6"/>
      <c r="E227" s="6"/>
    </row>
    <row r="228" spans="2:5" x14ac:dyDescent="0.25">
      <c r="B228" s="6"/>
      <c r="C228" s="6"/>
      <c r="D228" s="6"/>
      <c r="E228" s="6"/>
    </row>
    <row r="229" spans="2:5" x14ac:dyDescent="0.25">
      <c r="B229" s="6"/>
      <c r="C229" s="6"/>
      <c r="D229" s="6"/>
      <c r="E229" s="6"/>
    </row>
    <row r="230" spans="2:5" x14ac:dyDescent="0.25">
      <c r="B230" s="6"/>
      <c r="C230" s="6"/>
      <c r="D230" s="6"/>
      <c r="E230" s="6"/>
    </row>
    <row r="231" spans="2:5" x14ac:dyDescent="0.25">
      <c r="B231" s="6"/>
      <c r="C231" s="6"/>
      <c r="D231" s="6"/>
      <c r="E231" s="6"/>
    </row>
    <row r="232" spans="2:5" x14ac:dyDescent="0.25">
      <c r="B232" s="6"/>
      <c r="C232" s="6"/>
      <c r="D232" s="6"/>
      <c r="E232" s="6"/>
    </row>
    <row r="233" spans="2:5" x14ac:dyDescent="0.25">
      <c r="B233" s="6"/>
      <c r="C233" s="6"/>
      <c r="D233" s="6"/>
      <c r="E233" s="6"/>
    </row>
    <row r="234" spans="2:5" x14ac:dyDescent="0.25">
      <c r="B234" s="6"/>
      <c r="C234" s="6"/>
      <c r="D234" s="6"/>
      <c r="E234" s="6"/>
    </row>
    <row r="235" spans="2:5" x14ac:dyDescent="0.25">
      <c r="B235" s="6"/>
      <c r="C235" s="6"/>
      <c r="D235" s="6"/>
      <c r="E235" s="6"/>
    </row>
    <row r="236" spans="2:5" x14ac:dyDescent="0.25">
      <c r="B236" s="6"/>
      <c r="C236" s="6"/>
      <c r="D236" s="6"/>
      <c r="E236" s="6"/>
    </row>
    <row r="237" spans="2:5" x14ac:dyDescent="0.25">
      <c r="B237" s="6"/>
      <c r="C237" s="6"/>
      <c r="D237" s="6"/>
      <c r="E237" s="6"/>
    </row>
    <row r="238" spans="2:5" x14ac:dyDescent="0.25">
      <c r="B238" s="6"/>
      <c r="C238" s="6"/>
      <c r="D238" s="6"/>
      <c r="E238" s="6"/>
    </row>
    <row r="239" spans="2:5" x14ac:dyDescent="0.25">
      <c r="B239" s="6"/>
      <c r="C239" s="6"/>
      <c r="D239" s="6"/>
      <c r="E239" s="6"/>
    </row>
    <row r="240" spans="2:5" x14ac:dyDescent="0.25">
      <c r="B240" s="6"/>
      <c r="C240" s="6"/>
      <c r="D240" s="6"/>
      <c r="E240" s="6"/>
    </row>
    <row r="241" spans="2:5" x14ac:dyDescent="0.25">
      <c r="B241" s="6"/>
      <c r="C241" s="6"/>
      <c r="D241" s="6"/>
      <c r="E241" s="6"/>
    </row>
    <row r="242" spans="2:5" x14ac:dyDescent="0.25">
      <c r="B242" s="6"/>
      <c r="C242" s="6"/>
      <c r="D242" s="6"/>
      <c r="E242" s="6"/>
    </row>
    <row r="243" spans="2:5" x14ac:dyDescent="0.25">
      <c r="B243" s="6"/>
      <c r="C243" s="6"/>
      <c r="D243" s="6"/>
      <c r="E243" s="6"/>
    </row>
    <row r="244" spans="2:5" x14ac:dyDescent="0.25">
      <c r="B244" s="6"/>
      <c r="C244" s="6"/>
      <c r="D244" s="6"/>
      <c r="E244" s="6"/>
    </row>
    <row r="245" spans="2:5" x14ac:dyDescent="0.25">
      <c r="B245" s="6"/>
      <c r="C245" s="6"/>
      <c r="D245" s="6"/>
      <c r="E245" s="6"/>
    </row>
    <row r="246" spans="2:5" x14ac:dyDescent="0.25">
      <c r="B246" s="6"/>
      <c r="C246" s="6"/>
      <c r="D246" s="6"/>
      <c r="E246" s="6"/>
    </row>
    <row r="247" spans="2:5" x14ac:dyDescent="0.25">
      <c r="B247" s="6"/>
      <c r="C247" s="6"/>
      <c r="D247" s="6"/>
      <c r="E247" s="6"/>
    </row>
    <row r="248" spans="2:5" x14ac:dyDescent="0.25">
      <c r="B248" s="6"/>
      <c r="C248" s="6"/>
      <c r="D248" s="6"/>
      <c r="E248" s="6"/>
    </row>
    <row r="249" spans="2:5" x14ac:dyDescent="0.25">
      <c r="B249" s="6"/>
      <c r="C249" s="6"/>
      <c r="D249" s="6"/>
      <c r="E249" s="6"/>
    </row>
    <row r="250" spans="2:5" x14ac:dyDescent="0.25">
      <c r="B250" s="6"/>
      <c r="C250" s="6"/>
      <c r="D250" s="6"/>
      <c r="E250" s="6"/>
    </row>
    <row r="251" spans="2:5" x14ac:dyDescent="0.25">
      <c r="B251" s="6"/>
      <c r="C251" s="6"/>
      <c r="D251" s="6"/>
      <c r="E251" s="6"/>
    </row>
    <row r="252" spans="2:5" x14ac:dyDescent="0.25">
      <c r="B252" s="6"/>
      <c r="C252" s="6"/>
      <c r="D252" s="6"/>
      <c r="E252" s="6"/>
    </row>
    <row r="253" spans="2:5" x14ac:dyDescent="0.25">
      <c r="B253" s="6"/>
      <c r="C253" s="6"/>
      <c r="D253" s="6"/>
      <c r="E253" s="6"/>
    </row>
    <row r="254" spans="2:5" x14ac:dyDescent="0.25">
      <c r="B254" s="6"/>
      <c r="C254" s="6"/>
      <c r="D254" s="6"/>
      <c r="E254" s="6"/>
    </row>
    <row r="255" spans="2:5" x14ac:dyDescent="0.25">
      <c r="B255" s="6"/>
      <c r="C255" s="6"/>
      <c r="D255" s="6"/>
      <c r="E255" s="6"/>
    </row>
    <row r="256" spans="2:5" x14ac:dyDescent="0.25">
      <c r="B256" s="6"/>
      <c r="C256" s="6"/>
      <c r="D256" s="6"/>
      <c r="E256" s="6"/>
    </row>
    <row r="257" spans="2:5" x14ac:dyDescent="0.25">
      <c r="B257" s="6"/>
      <c r="C257" s="6"/>
      <c r="D257" s="6"/>
      <c r="E257" s="6"/>
    </row>
    <row r="258" spans="2:5" x14ac:dyDescent="0.25">
      <c r="B258" s="6"/>
      <c r="C258" s="6"/>
      <c r="D258" s="6"/>
      <c r="E258" s="6"/>
    </row>
    <row r="259" spans="2:5" x14ac:dyDescent="0.25">
      <c r="B259" s="6"/>
      <c r="C259" s="6"/>
      <c r="D259" s="6"/>
      <c r="E259" s="6"/>
    </row>
    <row r="260" spans="2:5" x14ac:dyDescent="0.25">
      <c r="B260" s="6"/>
      <c r="C260" s="6"/>
      <c r="D260" s="6"/>
      <c r="E260" s="6"/>
    </row>
    <row r="261" spans="2:5" x14ac:dyDescent="0.25">
      <c r="B261" s="6"/>
      <c r="C261" s="6"/>
      <c r="D261" s="6"/>
      <c r="E261" s="6"/>
    </row>
    <row r="262" spans="2:5" x14ac:dyDescent="0.25">
      <c r="B262" s="6"/>
      <c r="C262" s="6"/>
      <c r="D262" s="6"/>
      <c r="E262" s="6"/>
    </row>
    <row r="263" spans="2:5" x14ac:dyDescent="0.25">
      <c r="B263" s="6"/>
      <c r="C263" s="6"/>
      <c r="D263" s="6"/>
      <c r="E263" s="6"/>
    </row>
    <row r="264" spans="2:5" x14ac:dyDescent="0.25">
      <c r="B264" s="6"/>
      <c r="C264" s="6"/>
      <c r="D264" s="6"/>
      <c r="E264" s="6"/>
    </row>
    <row r="265" spans="2:5" x14ac:dyDescent="0.25">
      <c r="B265" s="6"/>
      <c r="C265" s="6"/>
      <c r="D265" s="6"/>
      <c r="E265" s="6"/>
    </row>
    <row r="266" spans="2:5" x14ac:dyDescent="0.25">
      <c r="B266" s="6"/>
      <c r="C266" s="6"/>
      <c r="D266" s="6"/>
      <c r="E266" s="6"/>
    </row>
    <row r="267" spans="2:5" x14ac:dyDescent="0.25">
      <c r="B267" s="6"/>
      <c r="C267" s="6"/>
      <c r="D267" s="6"/>
      <c r="E267" s="6"/>
    </row>
    <row r="268" spans="2:5" x14ac:dyDescent="0.25">
      <c r="B268" s="6"/>
      <c r="C268" s="6"/>
      <c r="D268" s="6"/>
      <c r="E268" s="6"/>
    </row>
    <row r="269" spans="2:5" x14ac:dyDescent="0.25">
      <c r="B269" s="6"/>
      <c r="C269" s="6"/>
      <c r="D269" s="6"/>
      <c r="E269" s="6"/>
    </row>
    <row r="270" spans="2:5" x14ac:dyDescent="0.25">
      <c r="B270" s="6"/>
      <c r="C270" s="6"/>
      <c r="D270" s="6"/>
      <c r="E270" s="6"/>
    </row>
    <row r="271" spans="2:5" x14ac:dyDescent="0.25">
      <c r="B271" s="6"/>
      <c r="C271" s="6"/>
      <c r="D271" s="6"/>
      <c r="E271" s="6"/>
    </row>
    <row r="272" spans="2:5" x14ac:dyDescent="0.25">
      <c r="B272" s="6"/>
      <c r="C272" s="6"/>
      <c r="D272" s="6"/>
      <c r="E272" s="6"/>
    </row>
    <row r="273" spans="2:5" x14ac:dyDescent="0.25">
      <c r="B273" s="6"/>
      <c r="C273" s="6"/>
      <c r="D273" s="6"/>
      <c r="E273" s="6"/>
    </row>
    <row r="274" spans="2:5" x14ac:dyDescent="0.25">
      <c r="B274" s="6"/>
      <c r="C274" s="6"/>
      <c r="D274" s="6"/>
      <c r="E274" s="6"/>
    </row>
    <row r="275" spans="2:5" x14ac:dyDescent="0.25">
      <c r="B275" s="6"/>
      <c r="C275" s="6"/>
      <c r="D275" s="6"/>
      <c r="E275" s="6"/>
    </row>
    <row r="276" spans="2:5" x14ac:dyDescent="0.25">
      <c r="B276" s="6"/>
      <c r="C276" s="6"/>
      <c r="D276" s="6"/>
      <c r="E276" s="6"/>
    </row>
    <row r="277" spans="2:5" x14ac:dyDescent="0.25">
      <c r="B277" s="6"/>
      <c r="C277" s="6"/>
      <c r="D277" s="6"/>
      <c r="E277" s="6"/>
    </row>
    <row r="278" spans="2:5" x14ac:dyDescent="0.25">
      <c r="B278" s="6"/>
      <c r="C278" s="6"/>
      <c r="D278" s="6"/>
      <c r="E278" s="6"/>
    </row>
    <row r="279" spans="2:5" x14ac:dyDescent="0.25">
      <c r="B279" s="6"/>
      <c r="C279" s="6"/>
      <c r="D279" s="6"/>
      <c r="E279" s="6"/>
    </row>
    <row r="280" spans="2:5" x14ac:dyDescent="0.25">
      <c r="B280" s="6"/>
      <c r="C280" s="6"/>
      <c r="D280" s="6"/>
      <c r="E280" s="6"/>
    </row>
    <row r="281" spans="2:5" x14ac:dyDescent="0.25">
      <c r="B281" s="6"/>
      <c r="C281" s="6"/>
      <c r="D281" s="6"/>
      <c r="E281" s="6"/>
    </row>
    <row r="282" spans="2:5" x14ac:dyDescent="0.25">
      <c r="B282" s="6"/>
      <c r="C282" s="6"/>
      <c r="D282" s="6"/>
      <c r="E282" s="6"/>
    </row>
    <row r="283" spans="2:5" x14ac:dyDescent="0.25">
      <c r="B283" s="6"/>
      <c r="C283" s="6"/>
      <c r="D283" s="6"/>
      <c r="E283" s="6"/>
    </row>
    <row r="284" spans="2:5" x14ac:dyDescent="0.25">
      <c r="B284" s="6"/>
      <c r="C284" s="6"/>
      <c r="D284" s="6"/>
      <c r="E284" s="6"/>
    </row>
    <row r="285" spans="2:5" x14ac:dyDescent="0.25">
      <c r="B285" s="6"/>
      <c r="C285" s="6"/>
      <c r="D285" s="6"/>
      <c r="E285" s="6"/>
    </row>
    <row r="286" spans="2:5" x14ac:dyDescent="0.25">
      <c r="B286" s="6"/>
      <c r="C286" s="6"/>
      <c r="D286" s="6"/>
      <c r="E286" s="6"/>
    </row>
    <row r="287" spans="2:5" x14ac:dyDescent="0.25">
      <c r="B287" s="6"/>
      <c r="C287" s="6"/>
      <c r="D287" s="6"/>
      <c r="E287" s="6"/>
    </row>
    <row r="288" spans="2:5" x14ac:dyDescent="0.25">
      <c r="B288" s="6"/>
      <c r="C288" s="6"/>
      <c r="D288" s="6"/>
      <c r="E288" s="6"/>
    </row>
    <row r="289" spans="2:5" x14ac:dyDescent="0.25">
      <c r="B289" s="6"/>
      <c r="C289" s="6"/>
      <c r="D289" s="6"/>
      <c r="E289" s="6"/>
    </row>
    <row r="290" spans="2:5" x14ac:dyDescent="0.25">
      <c r="B290" s="6"/>
      <c r="C290" s="6"/>
      <c r="D290" s="6"/>
      <c r="E290" s="6"/>
    </row>
    <row r="291" spans="2:5" x14ac:dyDescent="0.25">
      <c r="B291" s="6"/>
      <c r="C291" s="6"/>
      <c r="D291" s="6"/>
      <c r="E291" s="6"/>
    </row>
    <row r="292" spans="2:5" x14ac:dyDescent="0.25">
      <c r="B292" s="6"/>
      <c r="C292" s="6"/>
      <c r="D292" s="6"/>
      <c r="E292" s="6"/>
    </row>
    <row r="293" spans="2:5" x14ac:dyDescent="0.25">
      <c r="B293" s="6"/>
      <c r="C293" s="6"/>
      <c r="D293" s="6"/>
      <c r="E293" s="6"/>
    </row>
    <row r="294" spans="2:5" x14ac:dyDescent="0.25">
      <c r="B294" s="6"/>
      <c r="C294" s="6"/>
      <c r="D294" s="6"/>
      <c r="E294" s="6"/>
    </row>
    <row r="295" spans="2:5" x14ac:dyDescent="0.25">
      <c r="B295" s="6"/>
      <c r="C295" s="6"/>
      <c r="D295" s="6"/>
      <c r="E295" s="6"/>
    </row>
    <row r="296" spans="2:5" x14ac:dyDescent="0.25">
      <c r="B296" s="6"/>
      <c r="C296" s="6"/>
      <c r="D296" s="6"/>
      <c r="E296" s="6"/>
    </row>
    <row r="297" spans="2:5" x14ac:dyDescent="0.25">
      <c r="B297" s="6"/>
      <c r="C297" s="6"/>
      <c r="D297" s="6"/>
      <c r="E297" s="6"/>
    </row>
    <row r="298" spans="2:5" x14ac:dyDescent="0.25">
      <c r="B298" s="6"/>
      <c r="C298" s="6"/>
      <c r="D298" s="6"/>
      <c r="E298" s="6"/>
    </row>
    <row r="299" spans="2:5" x14ac:dyDescent="0.25">
      <c r="B299" s="6"/>
      <c r="C299" s="6"/>
      <c r="D299" s="6"/>
      <c r="E299" s="6"/>
    </row>
    <row r="300" spans="2:5" x14ac:dyDescent="0.25">
      <c r="B300" s="6"/>
      <c r="C300" s="6"/>
      <c r="D300" s="6"/>
      <c r="E300" s="6"/>
    </row>
    <row r="301" spans="2:5" x14ac:dyDescent="0.25">
      <c r="B301" s="6"/>
      <c r="C301" s="6"/>
      <c r="D301" s="6"/>
      <c r="E301" s="6"/>
    </row>
    <row r="302" spans="2:5" x14ac:dyDescent="0.25">
      <c r="B302" s="6"/>
      <c r="C302" s="6"/>
      <c r="D302" s="6"/>
      <c r="E302" s="6"/>
    </row>
    <row r="303" spans="2:5" x14ac:dyDescent="0.25">
      <c r="B303" s="6"/>
      <c r="C303" s="6"/>
      <c r="D303" s="6"/>
      <c r="E303" s="6"/>
    </row>
    <row r="304" spans="2:5" x14ac:dyDescent="0.25">
      <c r="B304" s="6"/>
      <c r="C304" s="6"/>
      <c r="D304" s="6"/>
      <c r="E304" s="6"/>
    </row>
    <row r="305" spans="2:5" x14ac:dyDescent="0.25">
      <c r="B305" s="6"/>
      <c r="C305" s="6"/>
      <c r="D305" s="6"/>
      <c r="E305" s="6"/>
    </row>
    <row r="306" spans="2:5" x14ac:dyDescent="0.25">
      <c r="B306" s="6"/>
      <c r="C306" s="6"/>
      <c r="D306" s="6"/>
      <c r="E306" s="6"/>
    </row>
    <row r="307" spans="2:5" x14ac:dyDescent="0.25">
      <c r="B307" s="6"/>
      <c r="C307" s="6"/>
      <c r="D307" s="6"/>
      <c r="E307" s="6"/>
    </row>
    <row r="308" spans="2:5" x14ac:dyDescent="0.25">
      <c r="B308" s="6"/>
      <c r="C308" s="6"/>
      <c r="D308" s="6"/>
      <c r="E308" s="6"/>
    </row>
    <row r="309" spans="2:5" x14ac:dyDescent="0.25">
      <c r="B309" s="6"/>
      <c r="C309" s="6"/>
      <c r="D309" s="6"/>
      <c r="E309" s="6"/>
    </row>
    <row r="310" spans="2:5" x14ac:dyDescent="0.25">
      <c r="B310" s="6"/>
      <c r="C310" s="6"/>
      <c r="D310" s="6"/>
      <c r="E310" s="6"/>
    </row>
    <row r="311" spans="2:5" x14ac:dyDescent="0.25">
      <c r="B311" s="6"/>
      <c r="C311" s="6"/>
      <c r="D311" s="6"/>
      <c r="E311" s="6"/>
    </row>
    <row r="312" spans="2:5" x14ac:dyDescent="0.25">
      <c r="B312" s="6"/>
      <c r="C312" s="6"/>
      <c r="D312" s="6"/>
      <c r="E312" s="6"/>
    </row>
    <row r="313" spans="2:5" x14ac:dyDescent="0.25">
      <c r="B313" s="6"/>
      <c r="C313" s="6"/>
      <c r="D313" s="6"/>
      <c r="E313" s="6"/>
    </row>
    <row r="314" spans="2:5" x14ac:dyDescent="0.25">
      <c r="B314" s="6"/>
      <c r="C314" s="6"/>
      <c r="D314" s="6"/>
      <c r="E314" s="6"/>
    </row>
    <row r="315" spans="2:5" x14ac:dyDescent="0.25">
      <c r="B315" s="6"/>
      <c r="C315" s="6"/>
      <c r="D315" s="6"/>
      <c r="E315" s="6"/>
    </row>
    <row r="316" spans="2:5" x14ac:dyDescent="0.25">
      <c r="B316" s="6"/>
      <c r="C316" s="6"/>
      <c r="D316" s="6"/>
      <c r="E316" s="6"/>
    </row>
    <row r="317" spans="2:5" x14ac:dyDescent="0.25">
      <c r="B317" s="6"/>
      <c r="C317" s="6"/>
      <c r="D317" s="6"/>
      <c r="E317" s="6"/>
    </row>
    <row r="318" spans="2:5" x14ac:dyDescent="0.25">
      <c r="B318" s="6"/>
      <c r="C318" s="6"/>
      <c r="D318" s="6"/>
      <c r="E318" s="6"/>
    </row>
    <row r="319" spans="2:5" x14ac:dyDescent="0.25">
      <c r="B319" s="6"/>
      <c r="C319" s="6"/>
      <c r="D319" s="6"/>
      <c r="E319" s="6"/>
    </row>
    <row r="320" spans="2:5" x14ac:dyDescent="0.25">
      <c r="B320" s="6"/>
      <c r="C320" s="6"/>
      <c r="D320" s="6"/>
      <c r="E320" s="6"/>
    </row>
    <row r="321" spans="2:5" x14ac:dyDescent="0.25">
      <c r="B321" s="6"/>
      <c r="C321" s="6"/>
      <c r="D321" s="6"/>
      <c r="E321" s="6"/>
    </row>
    <row r="322" spans="2:5" x14ac:dyDescent="0.25">
      <c r="B322" s="6"/>
      <c r="C322" s="6"/>
      <c r="D322" s="6"/>
      <c r="E322" s="6"/>
    </row>
    <row r="323" spans="2:5" x14ac:dyDescent="0.25">
      <c r="B323" s="6"/>
      <c r="C323" s="6"/>
      <c r="D323" s="6"/>
      <c r="E323" s="6"/>
    </row>
    <row r="324" spans="2:5" x14ac:dyDescent="0.25">
      <c r="B324" s="6"/>
      <c r="C324" s="6"/>
      <c r="D324" s="6"/>
      <c r="E324" s="6"/>
    </row>
    <row r="325" spans="2:5" x14ac:dyDescent="0.25">
      <c r="B325" s="6"/>
      <c r="C325" s="6"/>
      <c r="D325" s="6"/>
      <c r="E325" s="6"/>
    </row>
    <row r="326" spans="2:5" x14ac:dyDescent="0.25">
      <c r="B326" s="6"/>
      <c r="C326" s="6"/>
      <c r="D326" s="6"/>
      <c r="E326" s="6"/>
    </row>
    <row r="327" spans="2:5" x14ac:dyDescent="0.25">
      <c r="B327" s="6"/>
      <c r="C327" s="6"/>
      <c r="D327" s="6"/>
      <c r="E327" s="6"/>
    </row>
    <row r="328" spans="2:5" x14ac:dyDescent="0.25">
      <c r="B328" s="6"/>
      <c r="C328" s="6"/>
      <c r="D328" s="6"/>
      <c r="E328" s="6"/>
    </row>
    <row r="329" spans="2:5" x14ac:dyDescent="0.25">
      <c r="B329" s="6"/>
      <c r="C329" s="6"/>
      <c r="D329" s="6"/>
      <c r="E329" s="6"/>
    </row>
    <row r="330" spans="2:5" x14ac:dyDescent="0.25">
      <c r="B330" s="6"/>
      <c r="C330" s="6"/>
      <c r="D330" s="6"/>
      <c r="E330" s="6"/>
    </row>
    <row r="331" spans="2:5" x14ac:dyDescent="0.25">
      <c r="B331" s="6"/>
      <c r="C331" s="6"/>
      <c r="D331" s="6"/>
      <c r="E331" s="6"/>
    </row>
    <row r="332" spans="2:5" x14ac:dyDescent="0.25">
      <c r="B332" s="6"/>
      <c r="C332" s="6"/>
      <c r="D332" s="6"/>
      <c r="E332" s="6"/>
    </row>
    <row r="333" spans="2:5" x14ac:dyDescent="0.25">
      <c r="B333" s="6"/>
      <c r="C333" s="6"/>
      <c r="D333" s="6"/>
      <c r="E333" s="6"/>
    </row>
    <row r="334" spans="2:5" x14ac:dyDescent="0.25">
      <c r="B334" s="6"/>
      <c r="C334" s="6"/>
      <c r="D334" s="6"/>
      <c r="E334" s="6"/>
    </row>
    <row r="335" spans="2:5" x14ac:dyDescent="0.25">
      <c r="B335" s="6"/>
      <c r="C335" s="6"/>
      <c r="D335" s="6"/>
      <c r="E335" s="6"/>
    </row>
    <row r="336" spans="2:5" x14ac:dyDescent="0.25">
      <c r="B336" s="6"/>
      <c r="C336" s="6"/>
      <c r="D336" s="6"/>
      <c r="E336" s="6"/>
    </row>
    <row r="337" spans="2:5" x14ac:dyDescent="0.25">
      <c r="B337" s="6"/>
      <c r="C337" s="6"/>
      <c r="D337" s="6"/>
      <c r="E337" s="6"/>
    </row>
    <row r="338" spans="2:5" x14ac:dyDescent="0.25">
      <c r="B338" s="6"/>
      <c r="C338" s="6"/>
      <c r="D338" s="6"/>
      <c r="E338" s="6"/>
    </row>
    <row r="339" spans="2:5" x14ac:dyDescent="0.25">
      <c r="B339" s="6"/>
      <c r="C339" s="6"/>
      <c r="D339" s="6"/>
      <c r="E339" s="6"/>
    </row>
    <row r="340" spans="2:5" x14ac:dyDescent="0.25">
      <c r="B340" s="6"/>
      <c r="C340" s="6"/>
      <c r="D340" s="6"/>
      <c r="E340" s="6"/>
    </row>
    <row r="341" spans="2:5" x14ac:dyDescent="0.25">
      <c r="B341" s="6"/>
      <c r="C341" s="6"/>
      <c r="D341" s="6"/>
      <c r="E341" s="6"/>
    </row>
    <row r="342" spans="2:5" x14ac:dyDescent="0.25">
      <c r="B342" s="6"/>
      <c r="C342" s="6"/>
      <c r="D342" s="6"/>
      <c r="E342" s="6"/>
    </row>
    <row r="343" spans="2:5" x14ac:dyDescent="0.25">
      <c r="B343" s="6"/>
      <c r="C343" s="6"/>
      <c r="D343" s="6"/>
      <c r="E343" s="6"/>
    </row>
    <row r="344" spans="2:5" x14ac:dyDescent="0.25">
      <c r="B344" s="6"/>
      <c r="C344" s="6"/>
      <c r="D344" s="6"/>
      <c r="E344" s="6"/>
    </row>
    <row r="345" spans="2:5" x14ac:dyDescent="0.25">
      <c r="B345" s="6"/>
      <c r="C345" s="6"/>
      <c r="D345" s="6"/>
      <c r="E345" s="6"/>
    </row>
    <row r="346" spans="2:5" x14ac:dyDescent="0.25">
      <c r="B346" s="6"/>
      <c r="C346" s="6"/>
      <c r="D346" s="6"/>
      <c r="E346" s="6"/>
    </row>
    <row r="347" spans="2:5" x14ac:dyDescent="0.25">
      <c r="B347" s="6"/>
      <c r="C347" s="6"/>
      <c r="D347" s="6"/>
      <c r="E347" s="6"/>
    </row>
    <row r="348" spans="2:5" x14ac:dyDescent="0.25">
      <c r="B348" s="6"/>
      <c r="C348" s="6"/>
      <c r="D348" s="6"/>
      <c r="E348" s="6"/>
    </row>
    <row r="349" spans="2:5" x14ac:dyDescent="0.25">
      <c r="B349" s="6"/>
      <c r="C349" s="6"/>
      <c r="D349" s="6"/>
      <c r="E349" s="6"/>
    </row>
    <row r="350" spans="2:5" x14ac:dyDescent="0.25">
      <c r="B350" s="6"/>
      <c r="C350" s="6"/>
      <c r="D350" s="6"/>
      <c r="E350" s="6"/>
    </row>
    <row r="351" spans="2:5" x14ac:dyDescent="0.25">
      <c r="B351" s="6"/>
      <c r="C351" s="6"/>
      <c r="D351" s="6"/>
      <c r="E351" s="6"/>
    </row>
    <row r="352" spans="2:5" x14ac:dyDescent="0.25">
      <c r="B352" s="6"/>
      <c r="C352" s="6"/>
      <c r="D352" s="6"/>
      <c r="E352" s="6"/>
    </row>
    <row r="353" spans="2:5" x14ac:dyDescent="0.25">
      <c r="B353" s="6"/>
      <c r="C353" s="6"/>
      <c r="D353" s="6"/>
      <c r="E353" s="6"/>
    </row>
    <row r="354" spans="2:5" x14ac:dyDescent="0.25">
      <c r="B354" s="6"/>
      <c r="C354" s="6"/>
      <c r="D354" s="6"/>
      <c r="E354" s="6"/>
    </row>
    <row r="355" spans="2:5" x14ac:dyDescent="0.25">
      <c r="B355" s="6"/>
      <c r="C355" s="6"/>
      <c r="D355" s="6"/>
      <c r="E355" s="6"/>
    </row>
    <row r="356" spans="2:5" x14ac:dyDescent="0.25">
      <c r="B356" s="6"/>
      <c r="C356" s="6"/>
      <c r="D356" s="6"/>
      <c r="E356" s="6"/>
    </row>
    <row r="357" spans="2:5" x14ac:dyDescent="0.25">
      <c r="B357" s="6"/>
      <c r="C357" s="6"/>
      <c r="D357" s="6"/>
      <c r="E357" s="6"/>
    </row>
    <row r="358" spans="2:5" x14ac:dyDescent="0.25">
      <c r="B358" s="6"/>
      <c r="C358" s="6"/>
      <c r="D358" s="6"/>
      <c r="E358" s="6"/>
    </row>
    <row r="359" spans="2:5" x14ac:dyDescent="0.25">
      <c r="B359" s="6"/>
      <c r="C359" s="6"/>
      <c r="D359" s="6"/>
      <c r="E359" s="6"/>
    </row>
    <row r="360" spans="2:5" x14ac:dyDescent="0.25">
      <c r="B360" s="6"/>
      <c r="C360" s="6"/>
      <c r="D360" s="6"/>
      <c r="E360" s="6"/>
    </row>
    <row r="361" spans="2:5" x14ac:dyDescent="0.25">
      <c r="B361" s="6"/>
      <c r="C361" s="6"/>
      <c r="D361" s="6"/>
      <c r="E361" s="6"/>
    </row>
    <row r="362" spans="2:5" x14ac:dyDescent="0.25">
      <c r="B362" s="6"/>
      <c r="C362" s="6"/>
      <c r="D362" s="6"/>
      <c r="E362" s="6"/>
    </row>
    <row r="363" spans="2:5" x14ac:dyDescent="0.25">
      <c r="B363" s="6"/>
      <c r="C363" s="6"/>
      <c r="D363" s="6"/>
      <c r="E363" s="6"/>
    </row>
    <row r="364" spans="2:5" x14ac:dyDescent="0.25">
      <c r="B364" s="6"/>
      <c r="C364" s="6"/>
      <c r="D364" s="6"/>
      <c r="E364" s="6"/>
    </row>
    <row r="365" spans="2:5" x14ac:dyDescent="0.25">
      <c r="B365" s="6"/>
      <c r="C365" s="6"/>
      <c r="D365" s="6"/>
      <c r="E365" s="6"/>
    </row>
    <row r="366" spans="2:5" x14ac:dyDescent="0.25">
      <c r="B366" s="6"/>
      <c r="C366" s="6"/>
      <c r="D366" s="6"/>
      <c r="E366" s="6"/>
    </row>
    <row r="367" spans="2:5" x14ac:dyDescent="0.25">
      <c r="B367" s="6"/>
      <c r="C367" s="6"/>
      <c r="D367" s="6"/>
      <c r="E367" s="6"/>
    </row>
    <row r="368" spans="2:5" x14ac:dyDescent="0.25">
      <c r="B368" s="6"/>
      <c r="C368" s="6"/>
      <c r="D368" s="6"/>
      <c r="E368" s="6"/>
    </row>
    <row r="369" spans="2:5" x14ac:dyDescent="0.25">
      <c r="B369" s="6"/>
      <c r="C369" s="6"/>
      <c r="D369" s="6"/>
      <c r="E369" s="6"/>
    </row>
    <row r="370" spans="2:5" x14ac:dyDescent="0.25">
      <c r="B370" s="6"/>
      <c r="C370" s="6"/>
      <c r="D370" s="6"/>
      <c r="E370" s="6"/>
    </row>
    <row r="371" spans="2:5" x14ac:dyDescent="0.25">
      <c r="B371" s="6"/>
      <c r="C371" s="6"/>
      <c r="D371" s="6"/>
      <c r="E371" s="6"/>
    </row>
    <row r="372" spans="2:5" x14ac:dyDescent="0.25">
      <c r="B372" s="6"/>
      <c r="C372" s="6"/>
      <c r="D372" s="6"/>
      <c r="E372" s="6"/>
    </row>
    <row r="373" spans="2:5" x14ac:dyDescent="0.25">
      <c r="B373" s="6"/>
      <c r="C373" s="6"/>
      <c r="D373" s="6"/>
      <c r="E373" s="6"/>
    </row>
    <row r="374" spans="2:5" x14ac:dyDescent="0.25">
      <c r="B374" s="6"/>
      <c r="C374" s="6"/>
      <c r="D374" s="6"/>
      <c r="E374" s="6"/>
    </row>
    <row r="375" spans="2:5" x14ac:dyDescent="0.25">
      <c r="B375" s="6"/>
      <c r="C375" s="6"/>
      <c r="D375" s="6"/>
      <c r="E375" s="6"/>
    </row>
    <row r="376" spans="2:5" x14ac:dyDescent="0.25">
      <c r="B376" s="6"/>
      <c r="C376" s="6"/>
      <c r="D376" s="6"/>
      <c r="E376" s="6"/>
    </row>
    <row r="377" spans="2:5" x14ac:dyDescent="0.25">
      <c r="B377" s="6"/>
      <c r="C377" s="6"/>
      <c r="D377" s="6"/>
      <c r="E377" s="6"/>
    </row>
    <row r="378" spans="2:5" x14ac:dyDescent="0.25">
      <c r="B378" s="6"/>
      <c r="C378" s="6"/>
      <c r="D378" s="6"/>
      <c r="E378" s="6"/>
    </row>
    <row r="379" spans="2:5" x14ac:dyDescent="0.25">
      <c r="B379" s="6"/>
      <c r="C379" s="6"/>
      <c r="D379" s="6"/>
      <c r="E379" s="6"/>
    </row>
    <row r="380" spans="2:5" x14ac:dyDescent="0.25">
      <c r="B380" s="6"/>
      <c r="C380" s="6"/>
      <c r="D380" s="6"/>
      <c r="E380" s="6"/>
    </row>
    <row r="381" spans="2:5" x14ac:dyDescent="0.25">
      <c r="B381" s="6"/>
      <c r="C381" s="6"/>
      <c r="D381" s="6"/>
      <c r="E381" s="6"/>
    </row>
    <row r="382" spans="2:5" x14ac:dyDescent="0.25">
      <c r="B382" s="6"/>
      <c r="C382" s="6"/>
      <c r="D382" s="6"/>
      <c r="E382" s="6"/>
    </row>
    <row r="383" spans="2:5" x14ac:dyDescent="0.25">
      <c r="B383" s="6"/>
      <c r="C383" s="6"/>
      <c r="D383" s="6"/>
      <c r="E383" s="6"/>
    </row>
    <row r="384" spans="2:5" x14ac:dyDescent="0.25">
      <c r="B384" s="6"/>
      <c r="C384" s="6"/>
      <c r="D384" s="6"/>
      <c r="E384" s="6"/>
    </row>
    <row r="385" spans="2:5" x14ac:dyDescent="0.25">
      <c r="B385" s="6"/>
      <c r="C385" s="6"/>
      <c r="D385" s="6"/>
      <c r="E385" s="6"/>
    </row>
    <row r="386" spans="2:5" x14ac:dyDescent="0.25">
      <c r="B386" s="6"/>
      <c r="C386" s="6"/>
      <c r="D386" s="6"/>
      <c r="E386" s="6"/>
    </row>
    <row r="387" spans="2:5" x14ac:dyDescent="0.25">
      <c r="B387" s="6"/>
      <c r="C387" s="6"/>
      <c r="D387" s="6"/>
      <c r="E387" s="6"/>
    </row>
    <row r="388" spans="2:5" x14ac:dyDescent="0.25">
      <c r="B388" s="6"/>
      <c r="C388" s="6"/>
      <c r="D388" s="6"/>
      <c r="E388" s="6"/>
    </row>
    <row r="389" spans="2:5" x14ac:dyDescent="0.25">
      <c r="B389" s="6"/>
      <c r="C389" s="6"/>
      <c r="D389" s="6"/>
      <c r="E389" s="6"/>
    </row>
    <row r="390" spans="2:5" x14ac:dyDescent="0.25">
      <c r="B390" s="6"/>
      <c r="C390" s="6"/>
      <c r="D390" s="6"/>
      <c r="E390" s="6"/>
    </row>
    <row r="391" spans="2:5" x14ac:dyDescent="0.25">
      <c r="B391" s="6"/>
      <c r="C391" s="6"/>
      <c r="D391" s="6"/>
      <c r="E391" s="6"/>
    </row>
    <row r="392" spans="2:5" x14ac:dyDescent="0.25">
      <c r="B392" s="6"/>
      <c r="C392" s="6"/>
      <c r="D392" s="6"/>
      <c r="E392" s="6"/>
    </row>
    <row r="393" spans="2:5" x14ac:dyDescent="0.25">
      <c r="B393" s="6"/>
      <c r="C393" s="6"/>
      <c r="D393" s="6"/>
      <c r="E393" s="6"/>
    </row>
    <row r="394" spans="2:5" x14ac:dyDescent="0.25">
      <c r="B394" s="6"/>
      <c r="C394" s="6"/>
      <c r="D394" s="6"/>
      <c r="E394" s="6"/>
    </row>
    <row r="395" spans="2:5" x14ac:dyDescent="0.25">
      <c r="B395" s="6"/>
      <c r="C395" s="6"/>
      <c r="D395" s="6"/>
      <c r="E395" s="6"/>
    </row>
    <row r="396" spans="2:5" x14ac:dyDescent="0.25">
      <c r="B396" s="6"/>
      <c r="C396" s="6"/>
      <c r="D396" s="6"/>
      <c r="E396" s="6"/>
    </row>
    <row r="397" spans="2:5" x14ac:dyDescent="0.25">
      <c r="B397" s="6"/>
      <c r="C397" s="6"/>
      <c r="D397" s="6"/>
      <c r="E397" s="6"/>
    </row>
    <row r="398" spans="2:5" x14ac:dyDescent="0.25">
      <c r="B398" s="6"/>
      <c r="C398" s="6"/>
      <c r="D398" s="6"/>
      <c r="E398" s="6"/>
    </row>
    <row r="399" spans="2:5" x14ac:dyDescent="0.25">
      <c r="B399" s="6"/>
      <c r="C399" s="6"/>
      <c r="D399" s="6"/>
      <c r="E399" s="6"/>
    </row>
    <row r="400" spans="2:5" x14ac:dyDescent="0.25">
      <c r="B400" s="6"/>
      <c r="C400" s="6"/>
      <c r="D400" s="6"/>
      <c r="E400" s="6"/>
    </row>
    <row r="401" spans="2:5" x14ac:dyDescent="0.25">
      <c r="B401" s="6"/>
      <c r="C401" s="6"/>
      <c r="D401" s="6"/>
      <c r="E401" s="6"/>
    </row>
    <row r="402" spans="2:5" x14ac:dyDescent="0.25">
      <c r="B402" s="6"/>
      <c r="C402" s="6"/>
      <c r="D402" s="6"/>
      <c r="E402" s="6"/>
    </row>
    <row r="403" spans="2:5" x14ac:dyDescent="0.25">
      <c r="B403" s="6"/>
      <c r="C403" s="6"/>
      <c r="D403" s="6"/>
      <c r="E403" s="6"/>
    </row>
    <row r="404" spans="2:5" x14ac:dyDescent="0.25">
      <c r="B404" s="6"/>
      <c r="C404" s="6"/>
      <c r="D404" s="6"/>
      <c r="E404" s="6"/>
    </row>
    <row r="405" spans="2:5" x14ac:dyDescent="0.25">
      <c r="B405" s="6"/>
      <c r="C405" s="6"/>
      <c r="D405" s="6"/>
      <c r="E405" s="6"/>
    </row>
    <row r="406" spans="2:5" x14ac:dyDescent="0.25">
      <c r="B406" s="6"/>
      <c r="C406" s="6"/>
      <c r="D406" s="6"/>
      <c r="E406" s="6"/>
    </row>
    <row r="407" spans="2:5" x14ac:dyDescent="0.25">
      <c r="B407" s="6"/>
      <c r="C407" s="6"/>
      <c r="D407" s="6"/>
      <c r="E407" s="6"/>
    </row>
    <row r="408" spans="2:5" x14ac:dyDescent="0.25">
      <c r="B408" s="6"/>
      <c r="C408" s="6"/>
      <c r="D408" s="6"/>
      <c r="E408" s="6"/>
    </row>
    <row r="409" spans="2:5" x14ac:dyDescent="0.25">
      <c r="B409" s="6"/>
      <c r="C409" s="6"/>
      <c r="D409" s="6"/>
      <c r="E409" s="6"/>
    </row>
    <row r="410" spans="2:5" x14ac:dyDescent="0.25">
      <c r="B410" s="6"/>
      <c r="C410" s="6"/>
      <c r="D410" s="6"/>
      <c r="E410" s="6"/>
    </row>
    <row r="411" spans="2:5" x14ac:dyDescent="0.25">
      <c r="B411" s="6"/>
      <c r="C411" s="6"/>
      <c r="D411" s="6"/>
      <c r="E411" s="6"/>
    </row>
    <row r="412" spans="2:5" x14ac:dyDescent="0.25">
      <c r="B412" s="6"/>
      <c r="C412" s="6"/>
      <c r="D412" s="6"/>
      <c r="E412" s="6"/>
    </row>
    <row r="413" spans="2:5" x14ac:dyDescent="0.25">
      <c r="B413" s="6"/>
      <c r="C413" s="6"/>
      <c r="D413" s="6"/>
      <c r="E413" s="6"/>
    </row>
    <row r="414" spans="2:5" x14ac:dyDescent="0.25">
      <c r="B414" s="6"/>
      <c r="C414" s="6"/>
      <c r="D414" s="6"/>
      <c r="E414" s="6"/>
    </row>
    <row r="415" spans="2:5" x14ac:dyDescent="0.25">
      <c r="B415" s="6"/>
      <c r="C415" s="6"/>
      <c r="D415" s="6"/>
      <c r="E415" s="6"/>
    </row>
    <row r="416" spans="2:5" x14ac:dyDescent="0.25">
      <c r="B416" s="6"/>
      <c r="C416" s="6"/>
      <c r="D416" s="6"/>
      <c r="E416" s="6"/>
    </row>
    <row r="417" spans="2:5" x14ac:dyDescent="0.25">
      <c r="B417" s="6"/>
      <c r="C417" s="6"/>
      <c r="D417" s="6"/>
      <c r="E417" s="6"/>
    </row>
    <row r="418" spans="2:5" x14ac:dyDescent="0.25">
      <c r="B418" s="4"/>
      <c r="C418" s="4"/>
      <c r="D418" s="4"/>
      <c r="E418" s="4"/>
    </row>
    <row r="419" spans="2:5" x14ac:dyDescent="0.25">
      <c r="B419" s="4"/>
      <c r="C419" s="4"/>
      <c r="D419" s="4"/>
      <c r="E419" s="4"/>
    </row>
    <row r="420" spans="2:5" x14ac:dyDescent="0.25">
      <c r="B420" s="4"/>
      <c r="C420" s="4"/>
      <c r="D420" s="4"/>
      <c r="E420" s="4"/>
    </row>
    <row r="421" spans="2:5" x14ac:dyDescent="0.25">
      <c r="B421" s="4"/>
      <c r="C421" s="4"/>
      <c r="D421" s="4"/>
      <c r="E421" s="4"/>
    </row>
    <row r="422" spans="2:5" x14ac:dyDescent="0.25">
      <c r="B422" s="4"/>
      <c r="C422" s="4"/>
      <c r="D422" s="4"/>
      <c r="E422" s="4"/>
    </row>
    <row r="423" spans="2:5" x14ac:dyDescent="0.25">
      <c r="B423" s="4"/>
      <c r="C423" s="4"/>
      <c r="D423" s="4"/>
      <c r="E423" s="4"/>
    </row>
    <row r="424" spans="2:5" x14ac:dyDescent="0.25">
      <c r="B424" s="4"/>
      <c r="C424" s="4"/>
      <c r="D424" s="4"/>
      <c r="E424" s="4"/>
    </row>
    <row r="425" spans="2:5" x14ac:dyDescent="0.25">
      <c r="B425" s="4"/>
      <c r="C425" s="4"/>
      <c r="D425" s="4"/>
      <c r="E425" s="4"/>
    </row>
    <row r="426" spans="2:5" x14ac:dyDescent="0.25">
      <c r="B426" s="4"/>
      <c r="C426" s="4"/>
      <c r="D426" s="4"/>
      <c r="E426" s="4"/>
    </row>
    <row r="427" spans="2:5" x14ac:dyDescent="0.25">
      <c r="B427" s="4"/>
      <c r="C427" s="4"/>
      <c r="D427" s="4"/>
      <c r="E427" s="4"/>
    </row>
    <row r="428" spans="2:5" x14ac:dyDescent="0.25">
      <c r="B428" s="4"/>
      <c r="C428" s="4"/>
      <c r="D428" s="4"/>
      <c r="E428" s="4"/>
    </row>
    <row r="429" spans="2:5" x14ac:dyDescent="0.25">
      <c r="B429" s="4"/>
      <c r="C429" s="4"/>
      <c r="D429" s="4"/>
      <c r="E429" s="4"/>
    </row>
    <row r="430" spans="2:5" x14ac:dyDescent="0.25">
      <c r="B430" s="4"/>
      <c r="C430" s="4"/>
      <c r="D430" s="4"/>
      <c r="E430" s="4"/>
    </row>
    <row r="431" spans="2:5" x14ac:dyDescent="0.25">
      <c r="B431" s="4"/>
      <c r="C431" s="4"/>
      <c r="D431" s="4"/>
      <c r="E431" s="4"/>
    </row>
    <row r="432" spans="2:5" x14ac:dyDescent="0.25">
      <c r="B432" s="4"/>
      <c r="C432" s="4"/>
      <c r="D432" s="4"/>
      <c r="E432" s="4"/>
    </row>
    <row r="433" spans="2:5" x14ac:dyDescent="0.25">
      <c r="B433" s="4"/>
      <c r="C433" s="4"/>
      <c r="D433" s="4"/>
      <c r="E433" s="4"/>
    </row>
    <row r="434" spans="2:5" x14ac:dyDescent="0.25">
      <c r="B434" s="4"/>
      <c r="C434" s="4"/>
      <c r="D434" s="4"/>
      <c r="E434" s="4"/>
    </row>
    <row r="435" spans="2:5" x14ac:dyDescent="0.25">
      <c r="B435" s="4"/>
      <c r="C435" s="4"/>
      <c r="D435" s="4"/>
      <c r="E435" s="4"/>
    </row>
    <row r="436" spans="2:5" x14ac:dyDescent="0.25">
      <c r="B436" s="4"/>
      <c r="C436" s="4"/>
      <c r="D436" s="4"/>
      <c r="E436" s="4"/>
    </row>
    <row r="437" spans="2:5" x14ac:dyDescent="0.25">
      <c r="B437" s="4"/>
      <c r="C437" s="4"/>
      <c r="D437" s="4"/>
      <c r="E437" s="4"/>
    </row>
    <row r="438" spans="2:5" x14ac:dyDescent="0.25">
      <c r="B438" s="4"/>
      <c r="C438" s="4"/>
      <c r="D438" s="4"/>
      <c r="E438" s="4"/>
    </row>
    <row r="439" spans="2:5" x14ac:dyDescent="0.25">
      <c r="B439" s="4"/>
      <c r="C439" s="4"/>
      <c r="D439" s="4"/>
      <c r="E439" s="4"/>
    </row>
    <row r="440" spans="2:5" x14ac:dyDescent="0.25">
      <c r="B440" s="4"/>
      <c r="C440" s="4"/>
      <c r="D440" s="4"/>
      <c r="E440" s="4"/>
    </row>
    <row r="441" spans="2:5" x14ac:dyDescent="0.25">
      <c r="B441" s="4"/>
      <c r="C441" s="4"/>
      <c r="D441" s="4"/>
      <c r="E441" s="4"/>
    </row>
    <row r="442" spans="2:5" x14ac:dyDescent="0.25">
      <c r="B442" s="4"/>
      <c r="C442" s="4"/>
      <c r="D442" s="4"/>
      <c r="E442" s="4"/>
    </row>
    <row r="443" spans="2:5" x14ac:dyDescent="0.25">
      <c r="B443" s="4"/>
      <c r="C443" s="4"/>
      <c r="D443" s="4"/>
      <c r="E443" s="4"/>
    </row>
    <row r="444" spans="2:5" x14ac:dyDescent="0.25">
      <c r="B444" s="4"/>
      <c r="C444" s="4"/>
      <c r="D444" s="4"/>
      <c r="E444" s="4"/>
    </row>
    <row r="445" spans="2:5" x14ac:dyDescent="0.25">
      <c r="B445" s="4"/>
      <c r="C445" s="4"/>
      <c r="D445" s="4"/>
      <c r="E445" s="4"/>
    </row>
    <row r="446" spans="2:5" x14ac:dyDescent="0.25">
      <c r="B446" s="4"/>
      <c r="C446" s="4"/>
      <c r="D446" s="4"/>
      <c r="E446" s="4"/>
    </row>
    <row r="447" spans="2:5" x14ac:dyDescent="0.25">
      <c r="B447" s="4"/>
      <c r="C447" s="4"/>
      <c r="D447" s="4"/>
      <c r="E447" s="4"/>
    </row>
    <row r="448" spans="2:5" x14ac:dyDescent="0.25">
      <c r="B448" s="4"/>
      <c r="C448" s="4"/>
      <c r="D448" s="4"/>
      <c r="E448" s="4"/>
    </row>
    <row r="449" spans="2:5" x14ac:dyDescent="0.25">
      <c r="B449" s="4"/>
      <c r="C449" s="4"/>
      <c r="D449" s="4"/>
      <c r="E449" s="4"/>
    </row>
    <row r="450" spans="2:5" x14ac:dyDescent="0.25">
      <c r="B450" s="4"/>
      <c r="C450" s="4"/>
      <c r="D450" s="4"/>
      <c r="E450" s="4"/>
    </row>
    <row r="451" spans="2:5" x14ac:dyDescent="0.25">
      <c r="B451" s="4"/>
      <c r="C451" s="4"/>
      <c r="D451" s="4"/>
      <c r="E451" s="4"/>
    </row>
    <row r="452" spans="2:5" x14ac:dyDescent="0.25">
      <c r="B452" s="4"/>
      <c r="C452" s="4"/>
      <c r="D452" s="4"/>
      <c r="E452" s="4"/>
    </row>
    <row r="453" spans="2:5" x14ac:dyDescent="0.25">
      <c r="B453" s="4"/>
      <c r="C453" s="4"/>
      <c r="D453" s="4"/>
      <c r="E453" s="4"/>
    </row>
    <row r="454" spans="2:5" x14ac:dyDescent="0.25">
      <c r="B454" s="4"/>
      <c r="C454" s="4"/>
      <c r="D454" s="4"/>
      <c r="E454" s="4"/>
    </row>
    <row r="455" spans="2:5" x14ac:dyDescent="0.25">
      <c r="B455" s="4"/>
      <c r="C455" s="4"/>
      <c r="D455" s="4"/>
      <c r="E455" s="4"/>
    </row>
    <row r="456" spans="2:5" x14ac:dyDescent="0.25">
      <c r="B456" s="4"/>
      <c r="C456" s="4"/>
      <c r="D456" s="4"/>
      <c r="E456" s="4"/>
    </row>
    <row r="457" spans="2:5" x14ac:dyDescent="0.25">
      <c r="B457" s="4"/>
      <c r="C457" s="4"/>
      <c r="D457" s="4"/>
      <c r="E457" s="4"/>
    </row>
    <row r="458" spans="2:5" x14ac:dyDescent="0.25">
      <c r="B458" s="4"/>
      <c r="C458" s="4"/>
      <c r="D458" s="4"/>
      <c r="E458" s="4"/>
    </row>
    <row r="459" spans="2:5" x14ac:dyDescent="0.25">
      <c r="B459" s="4"/>
      <c r="C459" s="4"/>
      <c r="D459" s="4"/>
      <c r="E459" s="4"/>
    </row>
    <row r="460" spans="2:5" x14ac:dyDescent="0.25">
      <c r="B460" s="4"/>
      <c r="C460" s="4"/>
      <c r="D460" s="4"/>
      <c r="E460" s="4"/>
    </row>
    <row r="461" spans="2:5" x14ac:dyDescent="0.25">
      <c r="B461" s="4"/>
      <c r="C461" s="4"/>
      <c r="D461" s="4"/>
      <c r="E461" s="4"/>
    </row>
    <row r="462" spans="2:5" x14ac:dyDescent="0.25">
      <c r="B462" s="4"/>
      <c r="C462" s="4"/>
      <c r="D462" s="4"/>
      <c r="E462" s="4"/>
    </row>
    <row r="463" spans="2:5" x14ac:dyDescent="0.25">
      <c r="B463" s="4"/>
      <c r="C463" s="4"/>
      <c r="D463" s="4"/>
      <c r="E463" s="4"/>
    </row>
    <row r="464" spans="2:5" x14ac:dyDescent="0.25">
      <c r="B464" s="4"/>
      <c r="C464" s="4"/>
      <c r="D464" s="4"/>
      <c r="E464" s="4"/>
    </row>
    <row r="465" spans="2:5" x14ac:dyDescent="0.25">
      <c r="B465" s="4"/>
      <c r="C465" s="4"/>
      <c r="D465" s="4"/>
      <c r="E465" s="4"/>
    </row>
    <row r="466" spans="2:5" x14ac:dyDescent="0.25">
      <c r="B466" s="4"/>
      <c r="C466" s="4"/>
      <c r="D466" s="4"/>
      <c r="E466" s="4"/>
    </row>
    <row r="467" spans="2:5" x14ac:dyDescent="0.25">
      <c r="B467" s="4"/>
      <c r="C467" s="4"/>
      <c r="D467" s="4"/>
      <c r="E467" s="4"/>
    </row>
    <row r="468" spans="2:5" x14ac:dyDescent="0.25">
      <c r="B468" s="4"/>
      <c r="C468" s="4"/>
      <c r="D468" s="4"/>
      <c r="E468" s="4"/>
    </row>
    <row r="469" spans="2:5" x14ac:dyDescent="0.25">
      <c r="B469" s="4"/>
      <c r="C469" s="4"/>
      <c r="D469" s="4"/>
      <c r="E469" s="4"/>
    </row>
    <row r="470" spans="2:5" x14ac:dyDescent="0.25">
      <c r="B470" s="4"/>
      <c r="C470" s="4"/>
      <c r="D470" s="4"/>
      <c r="E470" s="4"/>
    </row>
    <row r="471" spans="2:5" x14ac:dyDescent="0.25">
      <c r="B471" s="4"/>
      <c r="C471" s="4"/>
      <c r="D471" s="4"/>
      <c r="E471" s="4"/>
    </row>
    <row r="472" spans="2:5" x14ac:dyDescent="0.25">
      <c r="B472" s="4"/>
      <c r="C472" s="4"/>
      <c r="D472" s="4"/>
      <c r="E472" s="4"/>
    </row>
    <row r="473" spans="2:5" x14ac:dyDescent="0.25">
      <c r="B473" s="4"/>
      <c r="C473" s="4"/>
      <c r="D473" s="4"/>
      <c r="E473" s="4"/>
    </row>
    <row r="474" spans="2:5" x14ac:dyDescent="0.25">
      <c r="B474" s="4"/>
      <c r="C474" s="4"/>
      <c r="D474" s="4"/>
      <c r="E474" s="4"/>
    </row>
    <row r="475" spans="2:5" x14ac:dyDescent="0.25">
      <c r="B475" s="4"/>
      <c r="C475" s="4"/>
      <c r="D475" s="4"/>
      <c r="E475" s="4"/>
    </row>
    <row r="476" spans="2:5" x14ac:dyDescent="0.25">
      <c r="B476" s="4"/>
      <c r="C476" s="4"/>
      <c r="D476" s="4"/>
      <c r="E476" s="4"/>
    </row>
    <row r="477" spans="2:5" x14ac:dyDescent="0.25">
      <c r="B477" s="4"/>
      <c r="C477" s="4"/>
      <c r="D477" s="4"/>
      <c r="E477" s="4"/>
    </row>
    <row r="478" spans="2:5" x14ac:dyDescent="0.25">
      <c r="B478" s="4"/>
      <c r="C478" s="4"/>
      <c r="D478" s="4"/>
      <c r="E478" s="4"/>
    </row>
    <row r="479" spans="2:5" x14ac:dyDescent="0.25">
      <c r="B479" s="4"/>
      <c r="C479" s="4"/>
      <c r="D479" s="4"/>
      <c r="E479" s="4"/>
    </row>
    <row r="480" spans="2:5" x14ac:dyDescent="0.25">
      <c r="B480" s="4"/>
      <c r="C480" s="4"/>
      <c r="D480" s="4"/>
      <c r="E480" s="4"/>
    </row>
    <row r="481" spans="2:5" x14ac:dyDescent="0.25">
      <c r="B481" s="4"/>
      <c r="C481" s="4"/>
      <c r="D481" s="4"/>
      <c r="E481" s="4"/>
    </row>
    <row r="482" spans="2:5" x14ac:dyDescent="0.25">
      <c r="B482" s="4"/>
      <c r="C482" s="4"/>
      <c r="D482" s="4"/>
      <c r="E482" s="4"/>
    </row>
    <row r="483" spans="2:5" x14ac:dyDescent="0.25">
      <c r="B483" s="4"/>
      <c r="C483" s="4"/>
      <c r="D483" s="4"/>
      <c r="E483" s="4"/>
    </row>
    <row r="484" spans="2:5" x14ac:dyDescent="0.25">
      <c r="B484" s="4"/>
      <c r="C484" s="4"/>
      <c r="D484" s="4"/>
      <c r="E484" s="4"/>
    </row>
    <row r="485" spans="2:5" x14ac:dyDescent="0.25">
      <c r="B485" s="4"/>
      <c r="C485" s="4"/>
      <c r="D485" s="4"/>
      <c r="E485" s="4"/>
    </row>
    <row r="486" spans="2:5" x14ac:dyDescent="0.25">
      <c r="B486" s="4"/>
      <c r="C486" s="4"/>
      <c r="D486" s="4"/>
      <c r="E486" s="4"/>
    </row>
    <row r="487" spans="2:5" x14ac:dyDescent="0.25">
      <c r="B487" s="4"/>
      <c r="C487" s="4"/>
      <c r="D487" s="4"/>
      <c r="E487" s="4"/>
    </row>
    <row r="488" spans="2:5" x14ac:dyDescent="0.25">
      <c r="B488" s="4"/>
      <c r="C488" s="4"/>
      <c r="D488" s="4"/>
      <c r="E488" s="4"/>
    </row>
    <row r="489" spans="2:5" x14ac:dyDescent="0.25">
      <c r="B489" s="4"/>
      <c r="C489" s="4"/>
      <c r="D489" s="4"/>
      <c r="E489" s="4"/>
    </row>
    <row r="490" spans="2:5" x14ac:dyDescent="0.25">
      <c r="B490" s="4"/>
      <c r="C490" s="4"/>
      <c r="D490" s="4"/>
      <c r="E490" s="4"/>
    </row>
    <row r="491" spans="2:5" x14ac:dyDescent="0.25">
      <c r="B491" s="4"/>
      <c r="C491" s="4"/>
      <c r="D491" s="4"/>
      <c r="E491" s="4"/>
    </row>
    <row r="492" spans="2:5" x14ac:dyDescent="0.25">
      <c r="B492" s="4"/>
      <c r="C492" s="4"/>
      <c r="D492" s="4"/>
      <c r="E492" s="4"/>
    </row>
    <row r="493" spans="2:5" x14ac:dyDescent="0.25">
      <c r="B493" s="4"/>
      <c r="C493" s="4"/>
      <c r="D493" s="4"/>
      <c r="E493" s="4"/>
    </row>
    <row r="494" spans="2:5" x14ac:dyDescent="0.25">
      <c r="B494" s="4"/>
      <c r="C494" s="4"/>
      <c r="D494" s="4"/>
      <c r="E494" s="4"/>
    </row>
    <row r="495" spans="2:5" x14ac:dyDescent="0.25">
      <c r="B495" s="4"/>
      <c r="C495" s="4"/>
      <c r="D495" s="4"/>
      <c r="E495" s="4"/>
    </row>
    <row r="496" spans="2:5" x14ac:dyDescent="0.25">
      <c r="B496" s="4"/>
      <c r="C496" s="4"/>
      <c r="D496" s="4"/>
      <c r="E496" s="4"/>
    </row>
    <row r="497" spans="2:5" x14ac:dyDescent="0.25">
      <c r="B497" s="4"/>
      <c r="C497" s="4"/>
      <c r="D497" s="4"/>
      <c r="E497" s="4"/>
    </row>
    <row r="498" spans="2:5" x14ac:dyDescent="0.25">
      <c r="B498" s="4"/>
      <c r="C498" s="4"/>
      <c r="D498" s="4"/>
      <c r="E498" s="4"/>
    </row>
    <row r="499" spans="2:5" x14ac:dyDescent="0.25">
      <c r="B499" s="4"/>
      <c r="C499" s="4"/>
      <c r="D499" s="4"/>
      <c r="E499" s="4"/>
    </row>
    <row r="500" spans="2:5" x14ac:dyDescent="0.25">
      <c r="B500" s="4"/>
      <c r="C500" s="4"/>
      <c r="D500" s="4"/>
      <c r="E500" s="4"/>
    </row>
    <row r="501" spans="2:5" x14ac:dyDescent="0.25">
      <c r="B501" s="4"/>
      <c r="C501" s="4"/>
      <c r="D501" s="4"/>
      <c r="E501" s="4"/>
    </row>
    <row r="502" spans="2:5" x14ac:dyDescent="0.25">
      <c r="B502" s="4"/>
      <c r="C502" s="4"/>
      <c r="D502" s="4"/>
      <c r="E502" s="4"/>
    </row>
    <row r="503" spans="2:5" x14ac:dyDescent="0.25">
      <c r="B503" s="4"/>
      <c r="C503" s="4"/>
      <c r="D503" s="4"/>
      <c r="E503" s="4"/>
    </row>
    <row r="504" spans="2:5" x14ac:dyDescent="0.25">
      <c r="B504" s="4"/>
      <c r="C504" s="4"/>
      <c r="D504" s="4"/>
      <c r="E504" s="4"/>
    </row>
    <row r="505" spans="2:5" x14ac:dyDescent="0.25">
      <c r="B505" s="4"/>
      <c r="C505" s="4"/>
      <c r="D505" s="4"/>
      <c r="E505" s="4"/>
    </row>
    <row r="506" spans="2:5" x14ac:dyDescent="0.25">
      <c r="B506" s="4"/>
      <c r="C506" s="4"/>
      <c r="D506" s="4"/>
      <c r="E506" s="4"/>
    </row>
    <row r="507" spans="2:5" x14ac:dyDescent="0.25">
      <c r="B507" s="4"/>
      <c r="C507" s="4"/>
      <c r="D507" s="4"/>
      <c r="E507" s="4"/>
    </row>
    <row r="508" spans="2:5" x14ac:dyDescent="0.25">
      <c r="B508" s="4"/>
      <c r="C508" s="4"/>
      <c r="D508" s="4"/>
      <c r="E508" s="4"/>
    </row>
    <row r="509" spans="2:5" x14ac:dyDescent="0.25">
      <c r="B509" s="4"/>
      <c r="C509" s="4"/>
      <c r="D509" s="4"/>
      <c r="E509" s="4"/>
    </row>
    <row r="510" spans="2:5" x14ac:dyDescent="0.25">
      <c r="B510" s="4"/>
      <c r="C510" s="4"/>
      <c r="D510" s="4"/>
      <c r="E510" s="4"/>
    </row>
    <row r="511" spans="2:5" x14ac:dyDescent="0.25">
      <c r="B511" s="4"/>
      <c r="C511" s="4"/>
      <c r="D511" s="4"/>
      <c r="E511" s="4"/>
    </row>
    <row r="512" spans="2:5" x14ac:dyDescent="0.25">
      <c r="B512" s="4"/>
      <c r="C512" s="4"/>
      <c r="D512" s="4"/>
      <c r="E512" s="4"/>
    </row>
    <row r="513" spans="2:5" x14ac:dyDescent="0.25">
      <c r="B513" s="4"/>
      <c r="C513" s="4"/>
      <c r="D513" s="4"/>
      <c r="E513" s="4"/>
    </row>
    <row r="514" spans="2:5" x14ac:dyDescent="0.25">
      <c r="B514" s="4"/>
      <c r="C514" s="4"/>
      <c r="D514" s="4"/>
      <c r="E514" s="4"/>
    </row>
    <row r="515" spans="2:5" x14ac:dyDescent="0.25">
      <c r="B515" s="4"/>
      <c r="C515" s="4"/>
      <c r="D515" s="4"/>
      <c r="E515" s="4"/>
    </row>
    <row r="516" spans="2:5" x14ac:dyDescent="0.25">
      <c r="B516" s="4"/>
      <c r="C516" s="4"/>
      <c r="D516" s="4"/>
      <c r="E516" s="4"/>
    </row>
    <row r="517" spans="2:5" x14ac:dyDescent="0.25">
      <c r="B517" s="4"/>
      <c r="C517" s="4"/>
      <c r="D517" s="4"/>
      <c r="E517" s="4"/>
    </row>
    <row r="518" spans="2:5" x14ac:dyDescent="0.25">
      <c r="B518" s="4"/>
      <c r="C518" s="4"/>
      <c r="D518" s="4"/>
      <c r="E518" s="4"/>
    </row>
    <row r="519" spans="2:5" x14ac:dyDescent="0.25">
      <c r="B519" s="4"/>
      <c r="C519" s="4"/>
      <c r="D519" s="4"/>
      <c r="E519" s="4"/>
    </row>
    <row r="520" spans="2:5" x14ac:dyDescent="0.25">
      <c r="B520" s="4"/>
      <c r="C520" s="4"/>
      <c r="D520" s="4"/>
      <c r="E520" s="4"/>
    </row>
    <row r="521" spans="2:5" x14ac:dyDescent="0.25">
      <c r="B521" s="4"/>
      <c r="C521" s="4"/>
      <c r="D521" s="4"/>
      <c r="E521" s="4"/>
    </row>
    <row r="522" spans="2:5" x14ac:dyDescent="0.25">
      <c r="B522" s="4"/>
      <c r="C522" s="4"/>
      <c r="D522" s="4"/>
      <c r="E522" s="4"/>
    </row>
    <row r="523" spans="2:5" x14ac:dyDescent="0.25">
      <c r="B523" s="4"/>
      <c r="C523" s="4"/>
      <c r="D523" s="4"/>
      <c r="E523" s="4"/>
    </row>
    <row r="524" spans="2:5" x14ac:dyDescent="0.25">
      <c r="B524" s="4"/>
      <c r="C524" s="4"/>
      <c r="D524" s="4"/>
      <c r="E524" s="4"/>
    </row>
    <row r="525" spans="2:5" x14ac:dyDescent="0.25">
      <c r="B525" s="4"/>
      <c r="C525" s="4"/>
      <c r="D525" s="4"/>
      <c r="E525" s="4"/>
    </row>
    <row r="526" spans="2:5" x14ac:dyDescent="0.25">
      <c r="B526" s="4"/>
      <c r="C526" s="4"/>
      <c r="D526" s="4"/>
      <c r="E526" s="4"/>
    </row>
    <row r="527" spans="2:5" x14ac:dyDescent="0.25">
      <c r="B527" s="4"/>
      <c r="C527" s="4"/>
      <c r="D527" s="4"/>
      <c r="E527" s="4"/>
    </row>
    <row r="528" spans="2:5" x14ac:dyDescent="0.25">
      <c r="B528" s="4"/>
      <c r="C528" s="4"/>
      <c r="D528" s="4"/>
      <c r="E528" s="4"/>
    </row>
    <row r="529" spans="2:5" x14ac:dyDescent="0.25">
      <c r="B529" s="4"/>
      <c r="C529" s="4"/>
      <c r="D529" s="4"/>
      <c r="E529" s="4"/>
    </row>
    <row r="530" spans="2:5" x14ac:dyDescent="0.25">
      <c r="B530" s="4"/>
      <c r="C530" s="4"/>
      <c r="D530" s="4"/>
      <c r="E530" s="4"/>
    </row>
    <row r="531" spans="2:5" x14ac:dyDescent="0.25">
      <c r="B531" s="4"/>
      <c r="C531" s="4"/>
      <c r="D531" s="4"/>
      <c r="E531" s="4"/>
    </row>
    <row r="532" spans="2:5" x14ac:dyDescent="0.25">
      <c r="B532" s="4"/>
      <c r="C532" s="4"/>
      <c r="D532" s="4"/>
      <c r="E532" s="4"/>
    </row>
    <row r="533" spans="2:5" x14ac:dyDescent="0.25">
      <c r="B533" s="4"/>
      <c r="C533" s="4"/>
      <c r="D533" s="4"/>
      <c r="E533" s="4"/>
    </row>
    <row r="534" spans="2:5" x14ac:dyDescent="0.25">
      <c r="B534" s="4"/>
      <c r="C534" s="4"/>
      <c r="D534" s="4"/>
      <c r="E534" s="4"/>
    </row>
    <row r="535" spans="2:5" x14ac:dyDescent="0.25">
      <c r="B535" s="4"/>
      <c r="C535" s="4"/>
      <c r="D535" s="4"/>
      <c r="E535" s="4"/>
    </row>
    <row r="536" spans="2:5" x14ac:dyDescent="0.25">
      <c r="B536" s="4"/>
      <c r="C536" s="4"/>
      <c r="D536" s="4"/>
      <c r="E536" s="4"/>
    </row>
    <row r="537" spans="2:5" x14ac:dyDescent="0.25">
      <c r="B537" s="4"/>
      <c r="C537" s="4"/>
      <c r="D537" s="4"/>
      <c r="E537" s="4"/>
    </row>
    <row r="538" spans="2:5" x14ac:dyDescent="0.25">
      <c r="B538" s="4"/>
      <c r="C538" s="4"/>
      <c r="D538" s="4"/>
      <c r="E538" s="4"/>
    </row>
    <row r="539" spans="2:5" x14ac:dyDescent="0.25">
      <c r="B539" s="4"/>
      <c r="C539" s="4"/>
      <c r="D539" s="4"/>
      <c r="E539" s="4"/>
    </row>
    <row r="540" spans="2:5" x14ac:dyDescent="0.25">
      <c r="B540" s="4"/>
      <c r="C540" s="4"/>
      <c r="D540" s="4"/>
      <c r="E540" s="4"/>
    </row>
    <row r="541" spans="2:5" x14ac:dyDescent="0.25">
      <c r="B541" s="4"/>
      <c r="C541" s="4"/>
      <c r="D541" s="4"/>
      <c r="E541" s="4"/>
    </row>
    <row r="542" spans="2:5" x14ac:dyDescent="0.25">
      <c r="B542" s="4"/>
      <c r="C542" s="4"/>
      <c r="D542" s="4"/>
      <c r="E542" s="4"/>
    </row>
    <row r="543" spans="2:5" x14ac:dyDescent="0.25">
      <c r="B543" s="4"/>
      <c r="C543" s="4"/>
      <c r="D543" s="4"/>
      <c r="E543" s="4"/>
    </row>
    <row r="544" spans="2:5" x14ac:dyDescent="0.25">
      <c r="B544" s="4"/>
      <c r="C544" s="4"/>
      <c r="D544" s="4"/>
      <c r="E544" s="4"/>
    </row>
    <row r="545" spans="2:5" x14ac:dyDescent="0.25">
      <c r="B545" s="4"/>
      <c r="C545" s="4"/>
      <c r="D545" s="4"/>
      <c r="E545" s="4"/>
    </row>
    <row r="546" spans="2:5" x14ac:dyDescent="0.25">
      <c r="B546" s="4"/>
      <c r="C546" s="4"/>
      <c r="D546" s="4"/>
      <c r="E546" s="4"/>
    </row>
    <row r="547" spans="2:5" x14ac:dyDescent="0.25">
      <c r="B547" s="4"/>
      <c r="C547" s="4"/>
      <c r="D547" s="4"/>
      <c r="E547" s="4"/>
    </row>
    <row r="548" spans="2:5" x14ac:dyDescent="0.25">
      <c r="B548" s="4"/>
      <c r="C548" s="4"/>
      <c r="D548" s="4"/>
      <c r="E548" s="4"/>
    </row>
    <row r="549" spans="2:5" x14ac:dyDescent="0.25">
      <c r="B549" s="4"/>
      <c r="C549" s="4"/>
      <c r="D549" s="4"/>
      <c r="E549" s="4"/>
    </row>
    <row r="550" spans="2:5" x14ac:dyDescent="0.25">
      <c r="B550" s="4"/>
      <c r="C550" s="4"/>
      <c r="D550" s="4"/>
      <c r="E550" s="4"/>
    </row>
    <row r="551" spans="2:5" x14ac:dyDescent="0.25">
      <c r="B551" s="4"/>
      <c r="C551" s="4"/>
      <c r="D551" s="4"/>
      <c r="E551" s="4"/>
    </row>
    <row r="552" spans="2:5" x14ac:dyDescent="0.25">
      <c r="B552" s="4"/>
      <c r="C552" s="4"/>
      <c r="D552" s="4"/>
      <c r="E552" s="4"/>
    </row>
    <row r="553" spans="2:5" x14ac:dyDescent="0.25">
      <c r="B553" s="4"/>
      <c r="C553" s="4"/>
      <c r="D553" s="4"/>
      <c r="E553" s="4"/>
    </row>
    <row r="554" spans="2:5" x14ac:dyDescent="0.25">
      <c r="B554" s="4"/>
      <c r="C554" s="4"/>
      <c r="D554" s="4"/>
      <c r="E554" s="4"/>
    </row>
    <row r="555" spans="2:5" x14ac:dyDescent="0.25">
      <c r="B555" s="4"/>
      <c r="C555" s="4"/>
      <c r="D555" s="4"/>
      <c r="E555" s="4"/>
    </row>
    <row r="556" spans="2:5" x14ac:dyDescent="0.25">
      <c r="B556" s="4"/>
      <c r="C556" s="4"/>
      <c r="D556" s="4"/>
      <c r="E556" s="4"/>
    </row>
    <row r="557" spans="2:5" x14ac:dyDescent="0.25">
      <c r="B557" s="4"/>
      <c r="C557" s="4"/>
      <c r="D557" s="4"/>
      <c r="E557" s="4"/>
    </row>
    <row r="558" spans="2:5" x14ac:dyDescent="0.25">
      <c r="B558" s="4"/>
      <c r="C558" s="4"/>
      <c r="D558" s="4"/>
      <c r="E558" s="4"/>
    </row>
    <row r="559" spans="2:5" x14ac:dyDescent="0.25">
      <c r="B559" s="4"/>
      <c r="C559" s="4"/>
      <c r="D559" s="4"/>
      <c r="E559" s="4"/>
    </row>
    <row r="560" spans="2:5" x14ac:dyDescent="0.25">
      <c r="B560" s="4"/>
      <c r="C560" s="4"/>
      <c r="D560" s="4"/>
      <c r="E560" s="4"/>
    </row>
    <row r="561" spans="2:5" x14ac:dyDescent="0.25">
      <c r="B561" s="4"/>
      <c r="C561" s="4"/>
      <c r="D561" s="4"/>
      <c r="E561" s="4"/>
    </row>
    <row r="562" spans="2:5" x14ac:dyDescent="0.25">
      <c r="B562" s="4"/>
      <c r="C562" s="4"/>
      <c r="D562" s="4"/>
      <c r="E562" s="4"/>
    </row>
    <row r="563" spans="2:5" x14ac:dyDescent="0.25">
      <c r="B563" s="4"/>
      <c r="C563" s="4"/>
      <c r="D563" s="4"/>
      <c r="E563" s="4"/>
    </row>
    <row r="564" spans="2:5" x14ac:dyDescent="0.25">
      <c r="B564" s="4"/>
      <c r="C564" s="4"/>
      <c r="D564" s="4"/>
      <c r="E564" s="4"/>
    </row>
    <row r="565" spans="2:5" x14ac:dyDescent="0.25">
      <c r="B565" s="4"/>
      <c r="C565" s="4"/>
      <c r="D565" s="4"/>
      <c r="E565" s="4"/>
    </row>
    <row r="566" spans="2:5" x14ac:dyDescent="0.25">
      <c r="B566" s="4"/>
      <c r="C566" s="4"/>
      <c r="D566" s="4"/>
      <c r="E566" s="4"/>
    </row>
    <row r="567" spans="2:5" x14ac:dyDescent="0.25">
      <c r="B567" s="4"/>
      <c r="C567" s="4"/>
      <c r="D567" s="4"/>
      <c r="E567" s="4"/>
    </row>
    <row r="568" spans="2:5" x14ac:dyDescent="0.25">
      <c r="B568" s="4"/>
      <c r="C568" s="4"/>
      <c r="D568" s="4"/>
      <c r="E568" s="4"/>
    </row>
    <row r="569" spans="2:5" x14ac:dyDescent="0.25">
      <c r="B569" s="4"/>
      <c r="C569" s="4"/>
      <c r="D569" s="4"/>
      <c r="E569" s="4"/>
    </row>
    <row r="570" spans="2:5" x14ac:dyDescent="0.25">
      <c r="B570" s="4"/>
      <c r="C570" s="4"/>
      <c r="D570" s="4"/>
      <c r="E570" s="4"/>
    </row>
    <row r="571" spans="2:5" x14ac:dyDescent="0.25">
      <c r="B571" s="4"/>
      <c r="C571" s="4"/>
      <c r="D571" s="4"/>
      <c r="E571" s="4"/>
    </row>
    <row r="572" spans="2:5" x14ac:dyDescent="0.25">
      <c r="B572" s="4"/>
      <c r="C572" s="4"/>
      <c r="D572" s="4"/>
      <c r="E572" s="4"/>
    </row>
    <row r="573" spans="2:5" x14ac:dyDescent="0.25">
      <c r="B573" s="4"/>
      <c r="C573" s="4"/>
      <c r="D573" s="4"/>
      <c r="E573" s="4"/>
    </row>
    <row r="574" spans="2:5" x14ac:dyDescent="0.25">
      <c r="B574" s="4"/>
      <c r="C574" s="4"/>
      <c r="D574" s="4"/>
      <c r="E574" s="4"/>
    </row>
    <row r="575" spans="2:5" x14ac:dyDescent="0.25">
      <c r="B575" s="4"/>
      <c r="C575" s="4"/>
      <c r="D575" s="4"/>
      <c r="E575" s="4"/>
    </row>
    <row r="576" spans="2:5" x14ac:dyDescent="0.25">
      <c r="B576" s="4"/>
      <c r="C576" s="4"/>
      <c r="D576" s="4"/>
      <c r="E576" s="4"/>
    </row>
    <row r="577" spans="2:5" x14ac:dyDescent="0.25">
      <c r="B577" s="4"/>
      <c r="C577" s="4"/>
      <c r="D577" s="4"/>
      <c r="E577" s="4"/>
    </row>
    <row r="578" spans="2:5" x14ac:dyDescent="0.25">
      <c r="B578" s="4"/>
      <c r="C578" s="4"/>
      <c r="D578" s="4"/>
      <c r="E578" s="4"/>
    </row>
    <row r="579" spans="2:5" x14ac:dyDescent="0.25">
      <c r="B579" s="4"/>
      <c r="C579" s="4"/>
      <c r="D579" s="4"/>
      <c r="E579" s="4"/>
    </row>
    <row r="580" spans="2:5" x14ac:dyDescent="0.25">
      <c r="B580" s="4"/>
      <c r="C580" s="4"/>
      <c r="D580" s="4"/>
      <c r="E580" s="4"/>
    </row>
    <row r="581" spans="2:5" x14ac:dyDescent="0.25">
      <c r="B581" s="4"/>
      <c r="C581" s="4"/>
      <c r="D581" s="4"/>
      <c r="E581" s="4"/>
    </row>
    <row r="582" spans="2:5" x14ac:dyDescent="0.25">
      <c r="B582" s="4"/>
      <c r="C582" s="4"/>
      <c r="D582" s="4"/>
      <c r="E582" s="4"/>
    </row>
    <row r="583" spans="2:5" x14ac:dyDescent="0.25">
      <c r="B583" s="4"/>
      <c r="C583" s="4"/>
      <c r="D583" s="4"/>
      <c r="E583" s="4"/>
    </row>
    <row r="584" spans="2:5" x14ac:dyDescent="0.25">
      <c r="B584" s="4"/>
      <c r="C584" s="4"/>
      <c r="D584" s="4"/>
      <c r="E584" s="4"/>
    </row>
    <row r="585" spans="2:5" x14ac:dyDescent="0.25">
      <c r="B585" s="4"/>
      <c r="C585" s="4"/>
      <c r="D585" s="4"/>
      <c r="E585" s="4"/>
    </row>
    <row r="586" spans="2:5" x14ac:dyDescent="0.25">
      <c r="B586" s="4"/>
      <c r="C586" s="4"/>
      <c r="D586" s="4"/>
      <c r="E586" s="4"/>
    </row>
    <row r="587" spans="2:5" x14ac:dyDescent="0.25">
      <c r="B587" s="4"/>
      <c r="C587" s="4"/>
      <c r="D587" s="4"/>
      <c r="E587" s="4"/>
    </row>
    <row r="588" spans="2:5" x14ac:dyDescent="0.25">
      <c r="B588" s="4"/>
      <c r="C588" s="4"/>
      <c r="D588" s="4"/>
      <c r="E588" s="4"/>
    </row>
    <row r="589" spans="2:5" x14ac:dyDescent="0.25">
      <c r="B589" s="4"/>
      <c r="C589" s="4"/>
      <c r="D589" s="4"/>
      <c r="E589" s="4"/>
    </row>
    <row r="590" spans="2:5" x14ac:dyDescent="0.25">
      <c r="B590" s="4"/>
      <c r="C590" s="4"/>
      <c r="D590" s="4"/>
      <c r="E590" s="4"/>
    </row>
    <row r="591" spans="2:5" x14ac:dyDescent="0.25">
      <c r="B591" s="4"/>
      <c r="C591" s="4"/>
      <c r="D591" s="4"/>
      <c r="E591" s="4"/>
    </row>
    <row r="592" spans="2:5" x14ac:dyDescent="0.25">
      <c r="B592" s="4"/>
      <c r="C592" s="4"/>
      <c r="D592" s="4"/>
      <c r="E592" s="4"/>
    </row>
    <row r="593" spans="2:5" x14ac:dyDescent="0.25">
      <c r="B593" s="4"/>
      <c r="C593" s="4"/>
      <c r="D593" s="4"/>
      <c r="E593" s="4"/>
    </row>
    <row r="594" spans="2:5" x14ac:dyDescent="0.25">
      <c r="B594" s="4"/>
      <c r="C594" s="4"/>
      <c r="D594" s="4"/>
      <c r="E594" s="4"/>
    </row>
    <row r="595" spans="2:5" x14ac:dyDescent="0.25">
      <c r="B595" s="4"/>
      <c r="C595" s="4"/>
      <c r="D595" s="4"/>
      <c r="E595" s="4"/>
    </row>
    <row r="596" spans="2:5" x14ac:dyDescent="0.25">
      <c r="B596" s="4"/>
      <c r="C596" s="4"/>
      <c r="D596" s="4"/>
      <c r="E596" s="4"/>
    </row>
    <row r="597" spans="2:5" x14ac:dyDescent="0.25">
      <c r="B597" s="4"/>
      <c r="C597" s="4"/>
      <c r="D597" s="4"/>
      <c r="E597" s="4"/>
    </row>
    <row r="598" spans="2:5" x14ac:dyDescent="0.25">
      <c r="B598" s="4"/>
      <c r="C598" s="4"/>
      <c r="D598" s="4"/>
      <c r="E598" s="4"/>
    </row>
    <row r="599" spans="2:5" x14ac:dyDescent="0.25">
      <c r="B599" s="4"/>
      <c r="C599" s="4"/>
      <c r="D599" s="4"/>
      <c r="E599" s="4"/>
    </row>
    <row r="600" spans="2:5" x14ac:dyDescent="0.25">
      <c r="B600" s="4"/>
      <c r="C600" s="4"/>
      <c r="D600" s="4"/>
      <c r="E600" s="4"/>
    </row>
    <row r="601" spans="2:5" x14ac:dyDescent="0.25">
      <c r="B601" s="4"/>
      <c r="C601" s="4"/>
      <c r="D601" s="4"/>
      <c r="E601" s="4"/>
    </row>
    <row r="602" spans="2:5" x14ac:dyDescent="0.25">
      <c r="B602" s="4"/>
      <c r="C602" s="4"/>
      <c r="D602" s="4"/>
      <c r="E602" s="4"/>
    </row>
    <row r="603" spans="2:5" x14ac:dyDescent="0.25">
      <c r="B603" s="4"/>
      <c r="C603" s="4"/>
      <c r="D603" s="4"/>
      <c r="E603" s="4"/>
    </row>
    <row r="604" spans="2:5" x14ac:dyDescent="0.25">
      <c r="B604" s="4"/>
      <c r="C604" s="4"/>
      <c r="D604" s="4"/>
      <c r="E604" s="4"/>
    </row>
    <row r="605" spans="2:5" x14ac:dyDescent="0.25">
      <c r="B605" s="4"/>
      <c r="C605" s="4"/>
      <c r="D605" s="4"/>
      <c r="E605" s="4"/>
    </row>
    <row r="606" spans="2:5" x14ac:dyDescent="0.25">
      <c r="B606" s="4"/>
      <c r="C606" s="4"/>
      <c r="D606" s="4"/>
      <c r="E606" s="4"/>
    </row>
    <row r="607" spans="2:5" x14ac:dyDescent="0.25">
      <c r="B607" s="4"/>
      <c r="C607" s="4"/>
      <c r="D607" s="4"/>
      <c r="E607" s="4"/>
    </row>
    <row r="608" spans="2:5" x14ac:dyDescent="0.25">
      <c r="B608" s="4"/>
      <c r="C608" s="4"/>
      <c r="D608" s="4"/>
      <c r="E608" s="4"/>
    </row>
    <row r="609" spans="2:5" x14ac:dyDescent="0.25">
      <c r="B609" s="4"/>
      <c r="C609" s="4"/>
      <c r="D609" s="4"/>
      <c r="E609" s="4"/>
    </row>
    <row r="610" spans="2:5" x14ac:dyDescent="0.25">
      <c r="B610" s="4"/>
      <c r="C610" s="4"/>
      <c r="D610" s="4"/>
      <c r="E610" s="4"/>
    </row>
    <row r="611" spans="2:5" x14ac:dyDescent="0.25">
      <c r="B611" s="4"/>
      <c r="C611" s="4"/>
      <c r="D611" s="4"/>
      <c r="E611" s="4"/>
    </row>
    <row r="612" spans="2:5" x14ac:dyDescent="0.25">
      <c r="B612" s="4"/>
      <c r="C612" s="4"/>
      <c r="D612" s="4"/>
      <c r="E612" s="4"/>
    </row>
    <row r="613" spans="2:5" x14ac:dyDescent="0.25">
      <c r="B613" s="4"/>
      <c r="C613" s="4"/>
      <c r="D613" s="4"/>
      <c r="E613" s="4"/>
    </row>
    <row r="614" spans="2:5" x14ac:dyDescent="0.25">
      <c r="B614" s="4"/>
      <c r="C614" s="4"/>
      <c r="D614" s="4"/>
      <c r="E614" s="4"/>
    </row>
    <row r="615" spans="2:5" x14ac:dyDescent="0.25">
      <c r="B615" s="4"/>
      <c r="C615" s="4"/>
      <c r="D615" s="4"/>
      <c r="E615" s="4"/>
    </row>
    <row r="616" spans="2:5" x14ac:dyDescent="0.25">
      <c r="B616" s="4"/>
      <c r="C616" s="4"/>
      <c r="D616" s="4"/>
      <c r="E616" s="4"/>
    </row>
    <row r="617" spans="2:5" x14ac:dyDescent="0.25">
      <c r="B617" s="4"/>
      <c r="C617" s="4"/>
      <c r="D617" s="4"/>
      <c r="E617" s="4"/>
    </row>
    <row r="618" spans="2:5" x14ac:dyDescent="0.25">
      <c r="B618" s="4"/>
      <c r="C618" s="4"/>
      <c r="D618" s="4"/>
      <c r="E618" s="4"/>
    </row>
    <row r="619" spans="2:5" x14ac:dyDescent="0.25">
      <c r="B619" s="4"/>
      <c r="C619" s="4"/>
      <c r="D619" s="4"/>
      <c r="E619" s="4"/>
    </row>
    <row r="620" spans="2:5" x14ac:dyDescent="0.25">
      <c r="B620" s="4"/>
      <c r="C620" s="4"/>
      <c r="D620" s="4"/>
      <c r="E620" s="4"/>
    </row>
    <row r="621" spans="2:5" x14ac:dyDescent="0.25">
      <c r="B621" s="4"/>
      <c r="C621" s="4"/>
      <c r="D621" s="4"/>
      <c r="E621" s="4"/>
    </row>
    <row r="622" spans="2:5" x14ac:dyDescent="0.25">
      <c r="B622" s="4"/>
      <c r="C622" s="4"/>
      <c r="D622" s="4"/>
      <c r="E622" s="4"/>
    </row>
    <row r="623" spans="2:5" x14ac:dyDescent="0.25">
      <c r="B623" s="4"/>
      <c r="C623" s="4"/>
      <c r="D623" s="4"/>
      <c r="E623" s="4"/>
    </row>
    <row r="624" spans="2:5" x14ac:dyDescent="0.25">
      <c r="B624" s="4"/>
      <c r="C624" s="4"/>
      <c r="D624" s="4"/>
      <c r="E624" s="4"/>
    </row>
    <row r="625" spans="2:5" x14ac:dyDescent="0.25">
      <c r="B625" s="4"/>
      <c r="C625" s="4"/>
      <c r="D625" s="4"/>
      <c r="E625" s="4"/>
    </row>
    <row r="626" spans="2:5" x14ac:dyDescent="0.25">
      <c r="B626" s="4"/>
      <c r="C626" s="4"/>
      <c r="D626" s="4"/>
      <c r="E626" s="4"/>
    </row>
    <row r="627" spans="2:5" x14ac:dyDescent="0.25">
      <c r="B627" s="4"/>
      <c r="C627" s="4"/>
      <c r="D627" s="4"/>
      <c r="E627" s="4"/>
    </row>
    <row r="628" spans="2:5" x14ac:dyDescent="0.25">
      <c r="B628" s="4"/>
      <c r="C628" s="4"/>
      <c r="D628" s="4"/>
      <c r="E628" s="4"/>
    </row>
    <row r="629" spans="2:5" x14ac:dyDescent="0.25">
      <c r="B629" s="4"/>
      <c r="C629" s="4"/>
      <c r="D629" s="4"/>
      <c r="E629" s="4"/>
    </row>
    <row r="630" spans="2:5" x14ac:dyDescent="0.25">
      <c r="B630" s="4"/>
      <c r="C630" s="4"/>
      <c r="D630" s="4"/>
      <c r="E630" s="4"/>
    </row>
    <row r="631" spans="2:5" x14ac:dyDescent="0.25">
      <c r="B631" s="4"/>
      <c r="C631" s="4"/>
      <c r="D631" s="4"/>
      <c r="E631" s="4"/>
    </row>
    <row r="632" spans="2:5" x14ac:dyDescent="0.25">
      <c r="B632" s="4"/>
      <c r="C632" s="4"/>
      <c r="D632" s="4"/>
      <c r="E632" s="4"/>
    </row>
    <row r="633" spans="2:5" x14ac:dyDescent="0.25">
      <c r="B633" s="4"/>
      <c r="C633" s="4"/>
      <c r="D633" s="4"/>
      <c r="E633" s="4"/>
    </row>
    <row r="634" spans="2:5" x14ac:dyDescent="0.25">
      <c r="B634" s="4"/>
      <c r="C634" s="4"/>
      <c r="D634" s="4"/>
      <c r="E634" s="4"/>
    </row>
    <row r="635" spans="2:5" x14ac:dyDescent="0.25">
      <c r="B635" s="4"/>
      <c r="C635" s="4"/>
      <c r="D635" s="4"/>
      <c r="E635" s="4"/>
    </row>
    <row r="636" spans="2:5" x14ac:dyDescent="0.25">
      <c r="B636" s="4"/>
      <c r="C636" s="4"/>
      <c r="D636" s="4"/>
      <c r="E636" s="4"/>
    </row>
    <row r="637" spans="2:5" x14ac:dyDescent="0.25">
      <c r="B637" s="4"/>
      <c r="C637" s="4"/>
      <c r="D637" s="4"/>
      <c r="E637" s="4"/>
    </row>
    <row r="638" spans="2:5" x14ac:dyDescent="0.25">
      <c r="B638" s="4"/>
      <c r="C638" s="4"/>
      <c r="D638" s="4"/>
      <c r="E638" s="4"/>
    </row>
    <row r="639" spans="2:5" x14ac:dyDescent="0.25">
      <c r="B639" s="4"/>
      <c r="C639" s="4"/>
      <c r="D639" s="4"/>
      <c r="E639" s="4"/>
    </row>
    <row r="640" spans="2:5" x14ac:dyDescent="0.25">
      <c r="B640" s="4"/>
      <c r="C640" s="4"/>
      <c r="D640" s="4"/>
      <c r="E640" s="4"/>
    </row>
    <row r="641" spans="2:5" x14ac:dyDescent="0.25">
      <c r="B641" s="4"/>
      <c r="C641" s="4"/>
      <c r="D641" s="4"/>
      <c r="E641" s="4"/>
    </row>
    <row r="642" spans="2:5" x14ac:dyDescent="0.25">
      <c r="B642" s="4"/>
      <c r="C642" s="4"/>
      <c r="D642" s="4"/>
      <c r="E642" s="4"/>
    </row>
    <row r="643" spans="2:5" x14ac:dyDescent="0.25">
      <c r="B643" s="4"/>
      <c r="C643" s="4"/>
      <c r="D643" s="4"/>
      <c r="E643" s="4"/>
    </row>
    <row r="644" spans="2:5" x14ac:dyDescent="0.25">
      <c r="B644" s="4"/>
      <c r="C644" s="4"/>
      <c r="D644" s="4"/>
      <c r="E644" s="4"/>
    </row>
    <row r="645" spans="2:5" x14ac:dyDescent="0.25">
      <c r="B645" s="4"/>
      <c r="C645" s="4"/>
      <c r="D645" s="4"/>
      <c r="E645" s="4"/>
    </row>
    <row r="646" spans="2:5" x14ac:dyDescent="0.25">
      <c r="B646" s="4"/>
      <c r="C646" s="4"/>
      <c r="D646" s="4"/>
      <c r="E646" s="4"/>
    </row>
    <row r="647" spans="2:5" x14ac:dyDescent="0.25">
      <c r="B647" s="4"/>
      <c r="C647" s="4"/>
      <c r="D647" s="4"/>
      <c r="E647" s="4"/>
    </row>
    <row r="648" spans="2:5" x14ac:dyDescent="0.25">
      <c r="B648" s="4"/>
      <c r="C648" s="4"/>
      <c r="D648" s="4"/>
      <c r="E648" s="4"/>
    </row>
    <row r="649" spans="2:5" x14ac:dyDescent="0.25">
      <c r="B649" s="4"/>
      <c r="C649" s="4"/>
      <c r="D649" s="4"/>
      <c r="E649" s="4"/>
    </row>
    <row r="650" spans="2:5" x14ac:dyDescent="0.25">
      <c r="B650" s="4"/>
      <c r="C650" s="4"/>
      <c r="D650" s="4"/>
      <c r="E650" s="4"/>
    </row>
    <row r="651" spans="2:5" x14ac:dyDescent="0.25">
      <c r="B651" s="4"/>
      <c r="C651" s="4"/>
      <c r="D651" s="4"/>
      <c r="E651" s="4"/>
    </row>
    <row r="652" spans="2:5" x14ac:dyDescent="0.25">
      <c r="B652" s="4"/>
      <c r="C652" s="4"/>
      <c r="D652" s="4"/>
      <c r="E652" s="4"/>
    </row>
    <row r="653" spans="2:5" x14ac:dyDescent="0.25">
      <c r="B653" s="4"/>
      <c r="C653" s="4"/>
      <c r="D653" s="4"/>
      <c r="E653" s="4"/>
    </row>
    <row r="654" spans="2:5" x14ac:dyDescent="0.25">
      <c r="B654" s="4"/>
      <c r="C654" s="4"/>
      <c r="D654" s="4"/>
      <c r="E654" s="4"/>
    </row>
    <row r="655" spans="2:5" x14ac:dyDescent="0.25">
      <c r="B655" s="4"/>
      <c r="C655" s="4"/>
      <c r="D655" s="4"/>
      <c r="E655" s="4"/>
    </row>
    <row r="656" spans="2:5" x14ac:dyDescent="0.25">
      <c r="B656" s="4"/>
      <c r="C656" s="4"/>
      <c r="D656" s="4"/>
      <c r="E656" s="4"/>
    </row>
    <row r="657" spans="2:5" x14ac:dyDescent="0.25">
      <c r="B657" s="4"/>
      <c r="C657" s="4"/>
      <c r="D657" s="4"/>
      <c r="E657" s="4"/>
    </row>
    <row r="658" spans="2:5" x14ac:dyDescent="0.25">
      <c r="B658" s="4"/>
      <c r="C658" s="4"/>
      <c r="D658" s="4"/>
      <c r="E658" s="4"/>
    </row>
    <row r="659" spans="2:5" x14ac:dyDescent="0.25">
      <c r="B659" s="4"/>
      <c r="C659" s="4"/>
      <c r="D659" s="4"/>
      <c r="E659" s="4"/>
    </row>
    <row r="660" spans="2:5" x14ac:dyDescent="0.25">
      <c r="B660" s="4"/>
      <c r="C660" s="4"/>
      <c r="D660" s="4"/>
      <c r="E660" s="4"/>
    </row>
    <row r="661" spans="2:5" x14ac:dyDescent="0.25">
      <c r="B661" s="4"/>
      <c r="C661" s="4"/>
      <c r="D661" s="4"/>
      <c r="E661" s="4"/>
    </row>
    <row r="662" spans="2:5" x14ac:dyDescent="0.25">
      <c r="B662" s="4"/>
      <c r="C662" s="4"/>
      <c r="D662" s="4"/>
      <c r="E662" s="4"/>
    </row>
    <row r="663" spans="2:5" x14ac:dyDescent="0.25">
      <c r="B663" s="4"/>
      <c r="C663" s="4"/>
      <c r="D663" s="4"/>
      <c r="E663" s="4"/>
    </row>
    <row r="664" spans="2:5" x14ac:dyDescent="0.25">
      <c r="B664" s="4"/>
      <c r="C664" s="4"/>
      <c r="D664" s="4"/>
      <c r="E664" s="4"/>
    </row>
    <row r="665" spans="2:5" x14ac:dyDescent="0.25">
      <c r="B665" s="4"/>
      <c r="C665" s="4"/>
      <c r="D665" s="4"/>
      <c r="E665" s="4"/>
    </row>
    <row r="666" spans="2:5" x14ac:dyDescent="0.25">
      <c r="B666" s="4"/>
      <c r="C666" s="4"/>
      <c r="D666" s="4"/>
      <c r="E666" s="4"/>
    </row>
    <row r="667" spans="2:5" x14ac:dyDescent="0.25">
      <c r="B667" s="4"/>
      <c r="C667" s="4"/>
      <c r="D667" s="4"/>
      <c r="E667" s="4"/>
    </row>
    <row r="668" spans="2:5" x14ac:dyDescent="0.25">
      <c r="B668" s="4"/>
      <c r="C668" s="4"/>
      <c r="D668" s="4"/>
      <c r="E668" s="4"/>
    </row>
    <row r="669" spans="2:5" x14ac:dyDescent="0.25">
      <c r="B669" s="4"/>
      <c r="C669" s="4"/>
      <c r="D669" s="4"/>
      <c r="E669" s="4"/>
    </row>
    <row r="670" spans="2:5" x14ac:dyDescent="0.25">
      <c r="B670" s="4"/>
      <c r="C670" s="4"/>
      <c r="D670" s="4"/>
      <c r="E670" s="4"/>
    </row>
    <row r="671" spans="2:5" x14ac:dyDescent="0.25">
      <c r="B671" s="4"/>
      <c r="C671" s="4"/>
      <c r="D671" s="4"/>
      <c r="E671" s="4"/>
    </row>
    <row r="672" spans="2:5" x14ac:dyDescent="0.25">
      <c r="B672" s="4"/>
      <c r="C672" s="4"/>
      <c r="D672" s="4"/>
      <c r="E672" s="4"/>
    </row>
    <row r="673" spans="2:5" x14ac:dyDescent="0.25">
      <c r="B673" s="4"/>
      <c r="C673" s="4"/>
      <c r="D673" s="4"/>
      <c r="E673" s="4"/>
    </row>
    <row r="674" spans="2:5" x14ac:dyDescent="0.25">
      <c r="B674" s="4"/>
      <c r="C674" s="4"/>
      <c r="D674" s="4"/>
      <c r="E674" s="4"/>
    </row>
    <row r="675" spans="2:5" x14ac:dyDescent="0.25">
      <c r="B675" s="4"/>
      <c r="C675" s="4"/>
      <c r="D675" s="4"/>
      <c r="E675" s="4"/>
    </row>
    <row r="676" spans="2:5" x14ac:dyDescent="0.25">
      <c r="B676" s="4"/>
      <c r="C676" s="4"/>
      <c r="D676" s="4"/>
      <c r="E676" s="4"/>
    </row>
    <row r="677" spans="2:5" x14ac:dyDescent="0.25">
      <c r="B677" s="4"/>
      <c r="C677" s="4"/>
      <c r="D677" s="4"/>
      <c r="E677" s="4"/>
    </row>
    <row r="678" spans="2:5" x14ac:dyDescent="0.25">
      <c r="B678" s="4"/>
      <c r="C678" s="4"/>
      <c r="D678" s="4"/>
      <c r="E678" s="4"/>
    </row>
    <row r="679" spans="2:5" x14ac:dyDescent="0.25">
      <c r="B679" s="4"/>
      <c r="C679" s="4"/>
      <c r="D679" s="4"/>
      <c r="E679" s="4"/>
    </row>
    <row r="680" spans="2:5" x14ac:dyDescent="0.25">
      <c r="B680" s="4"/>
      <c r="C680" s="4"/>
      <c r="D680" s="4"/>
      <c r="E680" s="4"/>
    </row>
    <row r="681" spans="2:5" x14ac:dyDescent="0.25">
      <c r="B681" s="4"/>
      <c r="C681" s="4"/>
      <c r="D681" s="4"/>
      <c r="E681" s="4"/>
    </row>
    <row r="682" spans="2:5" x14ac:dyDescent="0.25">
      <c r="B682" s="4"/>
      <c r="C682" s="4"/>
      <c r="D682" s="4"/>
      <c r="E682" s="4"/>
    </row>
    <row r="683" spans="2:5" x14ac:dyDescent="0.25">
      <c r="B683" s="4"/>
      <c r="C683" s="4"/>
      <c r="D683" s="4"/>
      <c r="E683" s="4"/>
    </row>
    <row r="684" spans="2:5" x14ac:dyDescent="0.25">
      <c r="B684" s="4"/>
      <c r="C684" s="4"/>
      <c r="D684" s="4"/>
      <c r="E684" s="4"/>
    </row>
    <row r="685" spans="2:5" x14ac:dyDescent="0.25">
      <c r="B685" s="4"/>
      <c r="C685" s="4"/>
      <c r="D685" s="4"/>
      <c r="E685" s="4"/>
    </row>
    <row r="686" spans="2:5" x14ac:dyDescent="0.25">
      <c r="B686" s="4"/>
      <c r="C686" s="4"/>
      <c r="D686" s="4"/>
      <c r="E686" s="4"/>
    </row>
    <row r="687" spans="2:5" x14ac:dyDescent="0.25">
      <c r="B687" s="4"/>
      <c r="C687" s="4"/>
      <c r="D687" s="4"/>
      <c r="E687" s="4"/>
    </row>
    <row r="688" spans="2:5" x14ac:dyDescent="0.25">
      <c r="B688" s="4"/>
      <c r="C688" s="4"/>
      <c r="D688" s="4"/>
      <c r="E688" s="4"/>
    </row>
    <row r="689" spans="2:5" x14ac:dyDescent="0.25">
      <c r="B689" s="4"/>
      <c r="C689" s="4"/>
      <c r="D689" s="4"/>
      <c r="E689" s="4"/>
    </row>
    <row r="690" spans="2:5" x14ac:dyDescent="0.25">
      <c r="B690" s="4"/>
      <c r="C690" s="4"/>
      <c r="D690" s="4"/>
      <c r="E690" s="4"/>
    </row>
    <row r="691" spans="2:5" x14ac:dyDescent="0.25">
      <c r="B691" s="4"/>
      <c r="C691" s="4"/>
      <c r="D691" s="4"/>
      <c r="E691" s="4"/>
    </row>
    <row r="692" spans="2:5" x14ac:dyDescent="0.25">
      <c r="B692" s="4"/>
      <c r="C692" s="4"/>
      <c r="D692" s="4"/>
      <c r="E692" s="4"/>
    </row>
    <row r="693" spans="2:5" x14ac:dyDescent="0.25">
      <c r="B693" s="4"/>
      <c r="C693" s="4"/>
      <c r="D693" s="4"/>
      <c r="E693" s="4"/>
    </row>
    <row r="694" spans="2:5" x14ac:dyDescent="0.25">
      <c r="B694" s="4"/>
      <c r="C694" s="4"/>
      <c r="D694" s="4"/>
      <c r="E694" s="4"/>
    </row>
    <row r="695" spans="2:5" x14ac:dyDescent="0.25">
      <c r="B695" s="4"/>
      <c r="C695" s="4"/>
      <c r="D695" s="4"/>
      <c r="E695" s="4"/>
    </row>
    <row r="696" spans="2:5" x14ac:dyDescent="0.25">
      <c r="B696" s="4"/>
      <c r="C696" s="4"/>
      <c r="D696" s="4"/>
      <c r="E696" s="4"/>
    </row>
    <row r="697" spans="2:5" x14ac:dyDescent="0.25">
      <c r="B697" s="4"/>
      <c r="C697" s="4"/>
      <c r="D697" s="4"/>
      <c r="E697" s="4"/>
    </row>
    <row r="698" spans="2:5" x14ac:dyDescent="0.25">
      <c r="B698" s="4"/>
      <c r="C698" s="4"/>
      <c r="D698" s="4"/>
      <c r="E698" s="4"/>
    </row>
    <row r="699" spans="2:5" x14ac:dyDescent="0.25">
      <c r="B699" s="4"/>
      <c r="C699" s="4"/>
      <c r="D699" s="4"/>
      <c r="E699" s="4"/>
    </row>
    <row r="700" spans="2:5" x14ac:dyDescent="0.25">
      <c r="B700" s="4"/>
      <c r="C700" s="4"/>
      <c r="D700" s="4"/>
      <c r="E700" s="4"/>
    </row>
    <row r="701" spans="2:5" x14ac:dyDescent="0.25">
      <c r="B701" s="4"/>
      <c r="C701" s="4"/>
      <c r="D701" s="4"/>
      <c r="E701" s="4"/>
    </row>
    <row r="702" spans="2:5" x14ac:dyDescent="0.25">
      <c r="B702" s="4"/>
      <c r="C702" s="4"/>
      <c r="D702" s="4"/>
      <c r="E702" s="4"/>
    </row>
    <row r="703" spans="2:5" x14ac:dyDescent="0.25">
      <c r="B703" s="4"/>
      <c r="C703" s="4"/>
      <c r="D703" s="4"/>
      <c r="E703" s="4"/>
    </row>
    <row r="704" spans="2:5" x14ac:dyDescent="0.25">
      <c r="B704" s="4"/>
      <c r="C704" s="4"/>
      <c r="D704" s="4"/>
      <c r="E704" s="4"/>
    </row>
    <row r="705" spans="2:5" x14ac:dyDescent="0.25">
      <c r="B705" s="4"/>
      <c r="C705" s="4"/>
      <c r="D705" s="4"/>
      <c r="E705" s="4"/>
    </row>
    <row r="706" spans="2:5" x14ac:dyDescent="0.25">
      <c r="B706" s="4"/>
      <c r="C706" s="4"/>
      <c r="D706" s="4"/>
      <c r="E706" s="4"/>
    </row>
    <row r="707" spans="2:5" x14ac:dyDescent="0.25">
      <c r="B707" s="4"/>
      <c r="C707" s="4"/>
      <c r="D707" s="4"/>
      <c r="E707" s="4"/>
    </row>
    <row r="708" spans="2:5" x14ac:dyDescent="0.25">
      <c r="B708" s="4"/>
      <c r="C708" s="4"/>
      <c r="D708" s="4"/>
      <c r="E708" s="4"/>
    </row>
    <row r="709" spans="2:5" x14ac:dyDescent="0.25">
      <c r="B709" s="4"/>
      <c r="C709" s="4"/>
      <c r="D709" s="4"/>
      <c r="E709" s="4"/>
    </row>
    <row r="710" spans="2:5" x14ac:dyDescent="0.25">
      <c r="B710" s="4"/>
      <c r="C710" s="4"/>
      <c r="D710" s="4"/>
      <c r="E710" s="4"/>
    </row>
    <row r="711" spans="2:5" x14ac:dyDescent="0.25">
      <c r="B711" s="4"/>
      <c r="C711" s="4"/>
      <c r="D711" s="4"/>
      <c r="E711" s="4"/>
    </row>
    <row r="712" spans="2:5" x14ac:dyDescent="0.25">
      <c r="B712" s="4"/>
      <c r="C712" s="4"/>
      <c r="D712" s="4"/>
      <c r="E712" s="4"/>
    </row>
    <row r="713" spans="2:5" x14ac:dyDescent="0.25">
      <c r="B713" s="4"/>
      <c r="C713" s="4"/>
      <c r="D713" s="4"/>
      <c r="E713" s="4"/>
    </row>
    <row r="714" spans="2:5" x14ac:dyDescent="0.25">
      <c r="B714" s="4"/>
      <c r="C714" s="4"/>
      <c r="D714" s="4"/>
      <c r="E714" s="4"/>
    </row>
    <row r="715" spans="2:5" x14ac:dyDescent="0.25">
      <c r="B715" s="4"/>
      <c r="C715" s="4"/>
      <c r="D715" s="4"/>
      <c r="E715" s="4"/>
    </row>
    <row r="716" spans="2:5" x14ac:dyDescent="0.25">
      <c r="B716" s="4"/>
      <c r="C716" s="4"/>
      <c r="D716" s="4"/>
      <c r="E716" s="4"/>
    </row>
    <row r="717" spans="2:5" x14ac:dyDescent="0.25">
      <c r="B717" s="4"/>
      <c r="C717" s="4"/>
      <c r="D717" s="4"/>
      <c r="E717" s="4"/>
    </row>
    <row r="718" spans="2:5" x14ac:dyDescent="0.25">
      <c r="B718" s="4"/>
      <c r="C718" s="4"/>
      <c r="D718" s="4"/>
      <c r="E718" s="4"/>
    </row>
    <row r="719" spans="2:5" x14ac:dyDescent="0.25">
      <c r="B719" s="4"/>
      <c r="C719" s="4"/>
      <c r="D719" s="4"/>
      <c r="E719" s="4"/>
    </row>
    <row r="720" spans="2:5" x14ac:dyDescent="0.25">
      <c r="B720" s="4"/>
      <c r="C720" s="4"/>
      <c r="D720" s="4"/>
      <c r="E720" s="4"/>
    </row>
    <row r="721" spans="2:5" x14ac:dyDescent="0.25">
      <c r="B721" s="4"/>
      <c r="C721" s="4"/>
      <c r="D721" s="4"/>
      <c r="E721" s="4"/>
    </row>
    <row r="722" spans="2:5" x14ac:dyDescent="0.25">
      <c r="B722" s="4"/>
      <c r="C722" s="4"/>
      <c r="D722" s="4"/>
      <c r="E722" s="4"/>
    </row>
    <row r="723" spans="2:5" x14ac:dyDescent="0.25">
      <c r="B723" s="4"/>
      <c r="C723" s="4"/>
      <c r="D723" s="4"/>
      <c r="E723" s="4"/>
    </row>
    <row r="724" spans="2:5" x14ac:dyDescent="0.25">
      <c r="B724" s="4"/>
      <c r="C724" s="4"/>
      <c r="D724" s="4"/>
      <c r="E724" s="4"/>
    </row>
    <row r="725" spans="2:5" x14ac:dyDescent="0.25">
      <c r="B725" s="4"/>
      <c r="C725" s="4"/>
      <c r="D725" s="4"/>
      <c r="E725" s="4"/>
    </row>
    <row r="726" spans="2:5" x14ac:dyDescent="0.25">
      <c r="B726" s="4"/>
      <c r="C726" s="4"/>
      <c r="D726" s="4"/>
      <c r="E726" s="4"/>
    </row>
    <row r="727" spans="2:5" x14ac:dyDescent="0.25">
      <c r="B727" s="4"/>
      <c r="C727" s="4"/>
      <c r="D727" s="4"/>
      <c r="E727" s="4"/>
    </row>
    <row r="728" spans="2:5" x14ac:dyDescent="0.25">
      <c r="B728" s="4"/>
      <c r="C728" s="4"/>
      <c r="D728" s="4"/>
      <c r="E728" s="4"/>
    </row>
    <row r="729" spans="2:5" x14ac:dyDescent="0.25">
      <c r="B729" s="4"/>
      <c r="C729" s="4"/>
      <c r="D729" s="4"/>
      <c r="E729" s="4"/>
    </row>
    <row r="730" spans="2:5" x14ac:dyDescent="0.25">
      <c r="B730" s="4"/>
      <c r="C730" s="4"/>
      <c r="D730" s="4"/>
      <c r="E730" s="4"/>
    </row>
    <row r="731" spans="2:5" x14ac:dyDescent="0.25">
      <c r="B731" s="4"/>
      <c r="C731" s="4"/>
      <c r="D731" s="4"/>
      <c r="E731" s="4"/>
    </row>
    <row r="732" spans="2:5" x14ac:dyDescent="0.25">
      <c r="B732" s="4"/>
      <c r="C732" s="4"/>
      <c r="D732" s="4"/>
      <c r="E732" s="4"/>
    </row>
    <row r="733" spans="2:5" x14ac:dyDescent="0.25">
      <c r="B733" s="4"/>
      <c r="C733" s="4"/>
      <c r="D733" s="4"/>
      <c r="E733" s="4"/>
    </row>
    <row r="734" spans="2:5" x14ac:dyDescent="0.25">
      <c r="B734" s="4"/>
      <c r="C734" s="4"/>
      <c r="D734" s="4"/>
      <c r="E734" s="4"/>
    </row>
    <row r="735" spans="2:5" x14ac:dyDescent="0.25">
      <c r="B735" s="4"/>
      <c r="C735" s="4"/>
      <c r="D735" s="4"/>
      <c r="E735" s="4"/>
    </row>
    <row r="736" spans="2:5" x14ac:dyDescent="0.25">
      <c r="B736" s="4"/>
      <c r="C736" s="4"/>
      <c r="D736" s="4"/>
      <c r="E736" s="4"/>
    </row>
    <row r="737" spans="2:5" x14ac:dyDescent="0.25">
      <c r="B737" s="4"/>
      <c r="C737" s="4"/>
      <c r="D737" s="4"/>
      <c r="E737" s="4"/>
    </row>
    <row r="738" spans="2:5" x14ac:dyDescent="0.25">
      <c r="B738" s="4"/>
      <c r="C738" s="4"/>
      <c r="D738" s="4"/>
      <c r="E738" s="4"/>
    </row>
    <row r="739" spans="2:5" x14ac:dyDescent="0.25">
      <c r="B739" s="4"/>
      <c r="C739" s="4"/>
      <c r="D739" s="4"/>
      <c r="E739" s="4"/>
    </row>
    <row r="740" spans="2:5" x14ac:dyDescent="0.25">
      <c r="B740" s="4"/>
      <c r="C740" s="4"/>
      <c r="D740" s="4"/>
      <c r="E740" s="4"/>
    </row>
    <row r="741" spans="2:5" x14ac:dyDescent="0.25">
      <c r="B741" s="4"/>
      <c r="C741" s="4"/>
      <c r="D741" s="4"/>
      <c r="E741" s="4"/>
    </row>
    <row r="742" spans="2:5" x14ac:dyDescent="0.25">
      <c r="B742" s="4"/>
      <c r="C742" s="4"/>
      <c r="D742" s="4"/>
      <c r="E742" s="4"/>
    </row>
    <row r="743" spans="2:5" x14ac:dyDescent="0.25">
      <c r="B743" s="4"/>
      <c r="C743" s="4"/>
      <c r="D743" s="4"/>
      <c r="E743" s="4"/>
    </row>
    <row r="744" spans="2:5" x14ac:dyDescent="0.25">
      <c r="B744" s="4"/>
      <c r="C744" s="4"/>
      <c r="D744" s="4"/>
      <c r="E744" s="4"/>
    </row>
    <row r="745" spans="2:5" x14ac:dyDescent="0.25">
      <c r="B745" s="4"/>
      <c r="C745" s="4"/>
      <c r="D745" s="4"/>
      <c r="E745" s="4"/>
    </row>
    <row r="746" spans="2:5" x14ac:dyDescent="0.25">
      <c r="B746" s="4"/>
      <c r="C746" s="4"/>
      <c r="D746" s="4"/>
      <c r="E746" s="4"/>
    </row>
    <row r="747" spans="2:5" x14ac:dyDescent="0.25">
      <c r="B747" s="4"/>
      <c r="C747" s="4"/>
      <c r="D747" s="4"/>
      <c r="E747" s="4"/>
    </row>
    <row r="748" spans="2:5" x14ac:dyDescent="0.25">
      <c r="B748" s="4"/>
      <c r="C748" s="4"/>
      <c r="D748" s="4"/>
      <c r="E748" s="4"/>
    </row>
    <row r="749" spans="2:5" x14ac:dyDescent="0.25">
      <c r="B749" s="4"/>
      <c r="C749" s="4"/>
      <c r="D749" s="4"/>
      <c r="E749" s="4"/>
    </row>
    <row r="750" spans="2:5" x14ac:dyDescent="0.25">
      <c r="B750" s="4"/>
      <c r="C750" s="4"/>
      <c r="D750" s="4"/>
      <c r="E750" s="4"/>
    </row>
    <row r="751" spans="2:5" x14ac:dyDescent="0.25">
      <c r="B751" s="4"/>
      <c r="C751" s="4"/>
      <c r="D751" s="4"/>
      <c r="E751" s="4"/>
    </row>
    <row r="752" spans="2:5" x14ac:dyDescent="0.25">
      <c r="B752" s="4"/>
      <c r="C752" s="4"/>
      <c r="D752" s="4"/>
      <c r="E752" s="4"/>
    </row>
    <row r="753" spans="2:5" x14ac:dyDescent="0.25">
      <c r="B753" s="4"/>
      <c r="C753" s="4"/>
      <c r="D753" s="4"/>
      <c r="E753" s="4"/>
    </row>
    <row r="754" spans="2:5" x14ac:dyDescent="0.25">
      <c r="B754" s="4"/>
      <c r="C754" s="4"/>
      <c r="D754" s="4"/>
      <c r="E754" s="4"/>
    </row>
    <row r="755" spans="2:5" x14ac:dyDescent="0.25">
      <c r="B755" s="4"/>
      <c r="C755" s="4"/>
      <c r="D755" s="4"/>
      <c r="E755" s="4"/>
    </row>
    <row r="756" spans="2:5" x14ac:dyDescent="0.25">
      <c r="B756" s="4"/>
      <c r="C756" s="4"/>
      <c r="D756" s="4"/>
      <c r="E756" s="4"/>
    </row>
    <row r="757" spans="2:5" x14ac:dyDescent="0.25">
      <c r="B757" s="4"/>
      <c r="C757" s="4"/>
      <c r="D757" s="4"/>
      <c r="E757" s="4"/>
    </row>
    <row r="758" spans="2:5" x14ac:dyDescent="0.25">
      <c r="B758" s="4"/>
      <c r="C758" s="4"/>
      <c r="D758" s="4"/>
      <c r="E758" s="4"/>
    </row>
    <row r="759" spans="2:5" x14ac:dyDescent="0.25">
      <c r="B759" s="4"/>
      <c r="C759" s="4"/>
      <c r="D759" s="4"/>
      <c r="E759" s="4"/>
    </row>
    <row r="760" spans="2:5" x14ac:dyDescent="0.25">
      <c r="B760" s="4"/>
      <c r="C760" s="4"/>
      <c r="D760" s="4"/>
      <c r="E760" s="4"/>
    </row>
    <row r="761" spans="2:5" x14ac:dyDescent="0.25">
      <c r="B761" s="4"/>
      <c r="C761" s="4"/>
      <c r="D761" s="4"/>
      <c r="E761" s="4"/>
    </row>
    <row r="762" spans="2:5" x14ac:dyDescent="0.25">
      <c r="B762" s="4"/>
      <c r="C762" s="4"/>
      <c r="D762" s="4"/>
      <c r="E762" s="4"/>
    </row>
    <row r="763" spans="2:5" x14ac:dyDescent="0.25">
      <c r="B763" s="4"/>
      <c r="C763" s="4"/>
      <c r="D763" s="4"/>
      <c r="E763" s="4"/>
    </row>
    <row r="764" spans="2:5" x14ac:dyDescent="0.25">
      <c r="B764" s="4"/>
      <c r="C764" s="4"/>
      <c r="D764" s="4"/>
      <c r="E764" s="4"/>
    </row>
    <row r="765" spans="2:5" x14ac:dyDescent="0.25">
      <c r="B765" s="4"/>
      <c r="C765" s="4"/>
      <c r="D765" s="4"/>
      <c r="E765" s="4"/>
    </row>
    <row r="766" spans="2:5" x14ac:dyDescent="0.25">
      <c r="B766" s="4"/>
      <c r="C766" s="4"/>
      <c r="D766" s="4"/>
      <c r="E766" s="4"/>
    </row>
    <row r="767" spans="2:5" x14ac:dyDescent="0.25">
      <c r="B767" s="4"/>
      <c r="C767" s="4"/>
      <c r="D767" s="4"/>
      <c r="E767" s="4"/>
    </row>
    <row r="768" spans="2:5" x14ac:dyDescent="0.25">
      <c r="B768" s="4"/>
      <c r="C768" s="4"/>
      <c r="D768" s="4"/>
      <c r="E768" s="4"/>
    </row>
    <row r="769" spans="2:5" x14ac:dyDescent="0.25">
      <c r="B769" s="4"/>
      <c r="C769" s="4"/>
      <c r="D769" s="4"/>
      <c r="E769" s="4"/>
    </row>
    <row r="770" spans="2:5" x14ac:dyDescent="0.25">
      <c r="B770" s="4"/>
      <c r="C770" s="4"/>
      <c r="D770" s="4"/>
      <c r="E770" s="4"/>
    </row>
    <row r="771" spans="2:5" x14ac:dyDescent="0.25">
      <c r="B771" s="4"/>
      <c r="C771" s="4"/>
      <c r="D771" s="4"/>
      <c r="E771" s="4"/>
    </row>
    <row r="772" spans="2:5" x14ac:dyDescent="0.25">
      <c r="B772" s="4"/>
      <c r="C772" s="4"/>
      <c r="D772" s="4"/>
      <c r="E772" s="4"/>
    </row>
    <row r="773" spans="2:5" x14ac:dyDescent="0.25">
      <c r="B773" s="4"/>
      <c r="C773" s="4"/>
      <c r="D773" s="4"/>
      <c r="E773" s="4"/>
    </row>
    <row r="774" spans="2:5" x14ac:dyDescent="0.25">
      <c r="B774" s="4"/>
      <c r="C774" s="4"/>
      <c r="D774" s="4"/>
      <c r="E774" s="4"/>
    </row>
    <row r="775" spans="2:5" x14ac:dyDescent="0.25">
      <c r="B775" s="4"/>
      <c r="C775" s="4"/>
      <c r="D775" s="4"/>
      <c r="E775" s="4"/>
    </row>
    <row r="776" spans="2:5" x14ac:dyDescent="0.25">
      <c r="B776" s="4"/>
      <c r="C776" s="4"/>
      <c r="D776" s="4"/>
      <c r="E776" s="4"/>
    </row>
    <row r="777" spans="2:5" x14ac:dyDescent="0.25">
      <c r="B777" s="4"/>
      <c r="C777" s="4"/>
      <c r="D777" s="4"/>
      <c r="E777" s="4"/>
    </row>
    <row r="778" spans="2:5" x14ac:dyDescent="0.25">
      <c r="B778" s="4"/>
      <c r="C778" s="4"/>
      <c r="D778" s="4"/>
      <c r="E778" s="4"/>
    </row>
    <row r="779" spans="2:5" x14ac:dyDescent="0.25">
      <c r="B779" s="4"/>
      <c r="C779" s="4"/>
      <c r="D779" s="4"/>
      <c r="E779" s="4"/>
    </row>
    <row r="780" spans="2:5" x14ac:dyDescent="0.25">
      <c r="B780" s="4"/>
      <c r="C780" s="4"/>
      <c r="D780" s="4"/>
      <c r="E780" s="4"/>
    </row>
    <row r="781" spans="2:5" x14ac:dyDescent="0.25">
      <c r="B781" s="4"/>
      <c r="C781" s="4"/>
      <c r="D781" s="4"/>
      <c r="E781" s="4"/>
    </row>
    <row r="782" spans="2:5" x14ac:dyDescent="0.25">
      <c r="B782" s="4"/>
      <c r="C782" s="4"/>
      <c r="D782" s="4"/>
      <c r="E782" s="4"/>
    </row>
    <row r="783" spans="2:5" x14ac:dyDescent="0.25">
      <c r="B783" s="4"/>
      <c r="C783" s="4"/>
      <c r="D783" s="4"/>
      <c r="E783" s="4"/>
    </row>
    <row r="784" spans="2:5" x14ac:dyDescent="0.25">
      <c r="B784" s="4"/>
      <c r="C784" s="4"/>
      <c r="D784" s="4"/>
      <c r="E784" s="4"/>
    </row>
    <row r="785" spans="2:5" x14ac:dyDescent="0.25">
      <c r="B785" s="4"/>
      <c r="C785" s="4"/>
      <c r="D785" s="4"/>
      <c r="E785" s="4"/>
    </row>
    <row r="786" spans="2:5" x14ac:dyDescent="0.25">
      <c r="B786" s="4"/>
      <c r="C786" s="4"/>
      <c r="D786" s="4"/>
      <c r="E786" s="4"/>
    </row>
    <row r="787" spans="2:5" x14ac:dyDescent="0.25">
      <c r="B787" s="4"/>
      <c r="C787" s="4"/>
      <c r="D787" s="4"/>
      <c r="E787" s="4"/>
    </row>
    <row r="788" spans="2:5" x14ac:dyDescent="0.25">
      <c r="B788" s="4"/>
      <c r="C788" s="4"/>
      <c r="D788" s="4"/>
      <c r="E788" s="4"/>
    </row>
    <row r="789" spans="2:5" x14ac:dyDescent="0.25">
      <c r="B789" s="4"/>
      <c r="C789" s="4"/>
      <c r="D789" s="4"/>
      <c r="E789" s="4"/>
    </row>
    <row r="790" spans="2:5" x14ac:dyDescent="0.25">
      <c r="B790" s="4"/>
      <c r="C790" s="4"/>
      <c r="D790" s="4"/>
      <c r="E790" s="4"/>
    </row>
    <row r="791" spans="2:5" x14ac:dyDescent="0.25">
      <c r="B791" s="4"/>
      <c r="C791" s="4"/>
      <c r="D791" s="4"/>
      <c r="E791" s="4"/>
    </row>
    <row r="792" spans="2:5" x14ac:dyDescent="0.25">
      <c r="B792" s="4"/>
      <c r="C792" s="4"/>
      <c r="D792" s="4"/>
      <c r="E792" s="4"/>
    </row>
    <row r="793" spans="2:5" x14ac:dyDescent="0.25">
      <c r="B793" s="4"/>
      <c r="C793" s="4"/>
      <c r="D793" s="4"/>
      <c r="E793" s="4"/>
    </row>
    <row r="794" spans="2:5" x14ac:dyDescent="0.25">
      <c r="B794" s="4"/>
      <c r="C794" s="4"/>
      <c r="D794" s="4"/>
      <c r="E794" s="4"/>
    </row>
    <row r="795" spans="2:5" x14ac:dyDescent="0.25">
      <c r="B795" s="4"/>
      <c r="C795" s="4"/>
      <c r="D795" s="4"/>
      <c r="E795" s="4"/>
    </row>
    <row r="796" spans="2:5" x14ac:dyDescent="0.25">
      <c r="B796" s="4"/>
      <c r="C796" s="4"/>
      <c r="D796" s="4"/>
      <c r="E796" s="4"/>
    </row>
    <row r="797" spans="2:5" x14ac:dyDescent="0.25">
      <c r="B797" s="4"/>
      <c r="C797" s="4"/>
      <c r="D797" s="4"/>
      <c r="E797" s="4"/>
    </row>
    <row r="798" spans="2:5" x14ac:dyDescent="0.25">
      <c r="B798" s="4"/>
      <c r="C798" s="4"/>
      <c r="D798" s="4"/>
      <c r="E798" s="4"/>
    </row>
    <row r="799" spans="2:5" x14ac:dyDescent="0.25">
      <c r="B799" s="4"/>
      <c r="C799" s="4"/>
      <c r="D799" s="4"/>
      <c r="E799" s="4"/>
    </row>
    <row r="800" spans="2:5" x14ac:dyDescent="0.25">
      <c r="B800" s="4"/>
      <c r="C800" s="4"/>
      <c r="D800" s="4"/>
      <c r="E800" s="4"/>
    </row>
    <row r="801" spans="2:5" x14ac:dyDescent="0.25">
      <c r="B801" s="4"/>
      <c r="C801" s="4"/>
      <c r="D801" s="4"/>
      <c r="E801" s="4"/>
    </row>
    <row r="802" spans="2:5" x14ac:dyDescent="0.25">
      <c r="B802" s="4"/>
      <c r="C802" s="4"/>
      <c r="D802" s="4"/>
      <c r="E802" s="4"/>
    </row>
    <row r="803" spans="2:5" x14ac:dyDescent="0.25">
      <c r="B803" s="4"/>
      <c r="C803" s="4"/>
      <c r="D803" s="4"/>
      <c r="E803" s="4"/>
    </row>
    <row r="804" spans="2:5" x14ac:dyDescent="0.25">
      <c r="B804" s="4"/>
      <c r="C804" s="4"/>
      <c r="D804" s="4"/>
      <c r="E804" s="4"/>
    </row>
    <row r="805" spans="2:5" x14ac:dyDescent="0.25">
      <c r="B805" s="4"/>
      <c r="C805" s="4"/>
      <c r="D805" s="4"/>
      <c r="E805" s="4"/>
    </row>
    <row r="806" spans="2:5" x14ac:dyDescent="0.25">
      <c r="B806" s="4"/>
      <c r="C806" s="4"/>
      <c r="D806" s="4"/>
      <c r="E806" s="4"/>
    </row>
    <row r="807" spans="2:5" x14ac:dyDescent="0.25">
      <c r="B807" s="4"/>
      <c r="C807" s="4"/>
      <c r="D807" s="4"/>
      <c r="E807" s="4"/>
    </row>
    <row r="808" spans="2:5" x14ac:dyDescent="0.25">
      <c r="B808" s="4"/>
      <c r="C808" s="4"/>
      <c r="D808" s="4"/>
      <c r="E808" s="4"/>
    </row>
    <row r="809" spans="2:5" x14ac:dyDescent="0.25">
      <c r="B809" s="4"/>
      <c r="C809" s="4"/>
      <c r="D809" s="4"/>
      <c r="E809" s="4"/>
    </row>
    <row r="810" spans="2:5" x14ac:dyDescent="0.25">
      <c r="B810" s="4"/>
      <c r="C810" s="4"/>
      <c r="D810" s="4"/>
      <c r="E810" s="4"/>
    </row>
    <row r="811" spans="2:5" x14ac:dyDescent="0.25">
      <c r="B811" s="4"/>
      <c r="C811" s="4"/>
      <c r="D811" s="4"/>
      <c r="E811" s="4"/>
    </row>
    <row r="812" spans="2:5" x14ac:dyDescent="0.25">
      <c r="B812" s="4"/>
      <c r="C812" s="4"/>
      <c r="D812" s="4"/>
      <c r="E812" s="4"/>
    </row>
    <row r="813" spans="2:5" x14ac:dyDescent="0.25">
      <c r="B813" s="4"/>
      <c r="C813" s="4"/>
      <c r="D813" s="4"/>
      <c r="E813" s="4"/>
    </row>
    <row r="814" spans="2:5" x14ac:dyDescent="0.25">
      <c r="B814" s="4"/>
      <c r="C814" s="4"/>
      <c r="D814" s="4"/>
      <c r="E814" s="4"/>
    </row>
    <row r="815" spans="2:5" x14ac:dyDescent="0.25">
      <c r="B815" s="4"/>
      <c r="C815" s="4"/>
      <c r="D815" s="4"/>
      <c r="E815" s="4"/>
    </row>
    <row r="816" spans="2:5" x14ac:dyDescent="0.25">
      <c r="B816" s="4"/>
      <c r="C816" s="4"/>
      <c r="D816" s="4"/>
      <c r="E816" s="4"/>
    </row>
    <row r="817" spans="2:5" x14ac:dyDescent="0.25">
      <c r="B817" s="4"/>
      <c r="C817" s="4"/>
      <c r="D817" s="4"/>
      <c r="E817" s="4"/>
    </row>
    <row r="818" spans="2:5" x14ac:dyDescent="0.25">
      <c r="B818" s="4"/>
      <c r="C818" s="4"/>
      <c r="D818" s="4"/>
      <c r="E818" s="4"/>
    </row>
    <row r="819" spans="2:5" x14ac:dyDescent="0.25">
      <c r="B819" s="4"/>
      <c r="C819" s="4"/>
      <c r="D819" s="4"/>
      <c r="E819" s="4"/>
    </row>
    <row r="820" spans="2:5" x14ac:dyDescent="0.25">
      <c r="B820" s="4"/>
      <c r="C820" s="4"/>
      <c r="D820" s="4"/>
      <c r="E820" s="4"/>
    </row>
    <row r="821" spans="2:5" x14ac:dyDescent="0.25">
      <c r="B821" s="4"/>
      <c r="C821" s="4"/>
      <c r="D821" s="4"/>
      <c r="E821" s="4"/>
    </row>
    <row r="822" spans="2:5" x14ac:dyDescent="0.25">
      <c r="B822" s="4"/>
      <c r="C822" s="4"/>
      <c r="D822" s="4"/>
      <c r="E822" s="4"/>
    </row>
    <row r="823" spans="2:5" x14ac:dyDescent="0.25">
      <c r="B823" s="4"/>
      <c r="C823" s="4"/>
      <c r="D823" s="4"/>
      <c r="E823" s="4"/>
    </row>
    <row r="824" spans="2:5" x14ac:dyDescent="0.25">
      <c r="B824" s="4"/>
      <c r="C824" s="4"/>
      <c r="D824" s="4"/>
      <c r="E824" s="4"/>
    </row>
    <row r="825" spans="2:5" x14ac:dyDescent="0.25">
      <c r="B825" s="4"/>
      <c r="C825" s="4"/>
      <c r="D825" s="4"/>
      <c r="E825" s="4"/>
    </row>
    <row r="826" spans="2:5" x14ac:dyDescent="0.25">
      <c r="B826" s="4"/>
      <c r="C826" s="4"/>
      <c r="D826" s="4"/>
      <c r="E826" s="4"/>
    </row>
    <row r="827" spans="2:5" x14ac:dyDescent="0.25">
      <c r="B827" s="4"/>
      <c r="C827" s="4"/>
      <c r="D827" s="4"/>
      <c r="E827" s="4"/>
    </row>
    <row r="828" spans="2:5" x14ac:dyDescent="0.25">
      <c r="B828" s="4"/>
      <c r="C828" s="4"/>
      <c r="D828" s="4"/>
      <c r="E828" s="4"/>
    </row>
    <row r="829" spans="2:5" x14ac:dyDescent="0.25">
      <c r="B829" s="4"/>
      <c r="C829" s="4"/>
      <c r="D829" s="4"/>
      <c r="E829" s="4"/>
    </row>
    <row r="830" spans="2:5" x14ac:dyDescent="0.25">
      <c r="B830" s="4"/>
      <c r="C830" s="4"/>
      <c r="D830" s="4"/>
      <c r="E830" s="4"/>
    </row>
    <row r="831" spans="2:5" x14ac:dyDescent="0.25">
      <c r="B831" s="4"/>
      <c r="C831" s="4"/>
      <c r="D831" s="4"/>
      <c r="E831" s="4"/>
    </row>
    <row r="832" spans="2:5" x14ac:dyDescent="0.25">
      <c r="B832" s="4"/>
      <c r="C832" s="4"/>
      <c r="D832" s="4"/>
      <c r="E832" s="4"/>
    </row>
    <row r="833" spans="2:5" x14ac:dyDescent="0.25">
      <c r="B833" s="4"/>
      <c r="C833" s="4"/>
      <c r="D833" s="4"/>
      <c r="E833" s="4"/>
    </row>
    <row r="834" spans="2:5" x14ac:dyDescent="0.25">
      <c r="B834" s="4"/>
      <c r="C834" s="4"/>
      <c r="D834" s="4"/>
      <c r="E834" s="4"/>
    </row>
    <row r="835" spans="2:5" x14ac:dyDescent="0.25">
      <c r="B835" s="4"/>
      <c r="C835" s="4"/>
      <c r="D835" s="4"/>
      <c r="E835" s="4"/>
    </row>
    <row r="836" spans="2:5" x14ac:dyDescent="0.25">
      <c r="B836" s="4"/>
      <c r="C836" s="4"/>
      <c r="D836" s="4"/>
      <c r="E836" s="4"/>
    </row>
    <row r="837" spans="2:5" x14ac:dyDescent="0.25">
      <c r="B837" s="4"/>
      <c r="C837" s="4"/>
      <c r="D837" s="4"/>
      <c r="E837" s="4"/>
    </row>
    <row r="838" spans="2:5" x14ac:dyDescent="0.25">
      <c r="B838" s="4"/>
      <c r="C838" s="4"/>
      <c r="D838" s="4"/>
      <c r="E838" s="4"/>
    </row>
    <row r="839" spans="2:5" x14ac:dyDescent="0.25">
      <c r="B839" s="4"/>
      <c r="C839" s="4"/>
      <c r="D839" s="4"/>
      <c r="E839" s="4"/>
    </row>
    <row r="840" spans="2:5" x14ac:dyDescent="0.25">
      <c r="B840" s="4"/>
      <c r="C840" s="4"/>
      <c r="D840" s="4"/>
      <c r="E840" s="4"/>
    </row>
    <row r="841" spans="2:5" x14ac:dyDescent="0.25">
      <c r="B841" s="4"/>
      <c r="C841" s="4"/>
      <c r="D841" s="4"/>
      <c r="E841" s="4"/>
    </row>
    <row r="842" spans="2:5" x14ac:dyDescent="0.25">
      <c r="B842" s="4"/>
      <c r="C842" s="4"/>
      <c r="D842" s="4"/>
      <c r="E842" s="4"/>
    </row>
    <row r="843" spans="2:5" x14ac:dyDescent="0.25">
      <c r="B843" s="4"/>
      <c r="C843" s="4"/>
      <c r="D843" s="4"/>
      <c r="E843" s="4"/>
    </row>
    <row r="844" spans="2:5" x14ac:dyDescent="0.25">
      <c r="B844" s="4"/>
      <c r="C844" s="4"/>
      <c r="D844" s="4"/>
      <c r="E844" s="4"/>
    </row>
    <row r="845" spans="2:5" x14ac:dyDescent="0.25">
      <c r="B845" s="4"/>
      <c r="C845" s="4"/>
      <c r="D845" s="4"/>
      <c r="E845" s="4"/>
    </row>
    <row r="846" spans="2:5" x14ac:dyDescent="0.25">
      <c r="B846" s="4"/>
      <c r="C846" s="4"/>
      <c r="D846" s="4"/>
      <c r="E846" s="4"/>
    </row>
    <row r="847" spans="2:5" x14ac:dyDescent="0.25">
      <c r="B847" s="4"/>
      <c r="C847" s="4"/>
      <c r="D847" s="4"/>
      <c r="E847" s="4"/>
    </row>
    <row r="848" spans="2:5" x14ac:dyDescent="0.25">
      <c r="B848" s="4"/>
      <c r="C848" s="4"/>
      <c r="D848" s="4"/>
      <c r="E848" s="4"/>
    </row>
    <row r="849" spans="2:5" x14ac:dyDescent="0.25">
      <c r="B849" s="4"/>
      <c r="C849" s="4"/>
      <c r="D849" s="4"/>
      <c r="E849" s="4"/>
    </row>
    <row r="850" spans="2:5" x14ac:dyDescent="0.25">
      <c r="B850" s="4"/>
      <c r="C850" s="4"/>
      <c r="D850" s="4"/>
      <c r="E850" s="4"/>
    </row>
    <row r="851" spans="2:5" x14ac:dyDescent="0.25">
      <c r="B851" s="4"/>
      <c r="C851" s="4"/>
      <c r="D851" s="4"/>
      <c r="E851" s="4"/>
    </row>
    <row r="852" spans="2:5" x14ac:dyDescent="0.25">
      <c r="B852" s="4"/>
      <c r="C852" s="4"/>
      <c r="D852" s="4"/>
      <c r="E852" s="4"/>
    </row>
    <row r="853" spans="2:5" x14ac:dyDescent="0.25">
      <c r="B853" s="4"/>
      <c r="C853" s="4"/>
      <c r="D853" s="4"/>
      <c r="E853" s="4"/>
    </row>
    <row r="854" spans="2:5" x14ac:dyDescent="0.25">
      <c r="B854" s="4"/>
      <c r="C854" s="4"/>
      <c r="D854" s="4"/>
      <c r="E854" s="4"/>
    </row>
    <row r="855" spans="2:5" x14ac:dyDescent="0.25">
      <c r="B855" s="4"/>
      <c r="C855" s="4"/>
      <c r="D855" s="4"/>
      <c r="E855" s="4"/>
    </row>
    <row r="856" spans="2:5" x14ac:dyDescent="0.25">
      <c r="B856" s="4"/>
      <c r="C856" s="4"/>
      <c r="D856" s="4"/>
      <c r="E856" s="4"/>
    </row>
    <row r="857" spans="2:5" x14ac:dyDescent="0.25">
      <c r="B857" s="4"/>
      <c r="C857" s="4"/>
      <c r="D857" s="4"/>
      <c r="E857" s="4"/>
    </row>
    <row r="858" spans="2:5" x14ac:dyDescent="0.25">
      <c r="B858" s="4"/>
      <c r="C858" s="4"/>
      <c r="D858" s="4"/>
      <c r="E858" s="4"/>
    </row>
    <row r="859" spans="2:5" x14ac:dyDescent="0.25">
      <c r="B859" s="4"/>
      <c r="C859" s="4"/>
      <c r="D859" s="4"/>
      <c r="E859" s="4"/>
    </row>
    <row r="860" spans="2:5" x14ac:dyDescent="0.25">
      <c r="B860" s="4"/>
      <c r="C860" s="4"/>
      <c r="D860" s="4"/>
      <c r="E860" s="4"/>
    </row>
    <row r="861" spans="2:5" x14ac:dyDescent="0.25">
      <c r="B861" s="4"/>
      <c r="C861" s="4"/>
      <c r="D861" s="4"/>
      <c r="E861" s="4"/>
    </row>
    <row r="862" spans="2:5" x14ac:dyDescent="0.25">
      <c r="B862" s="4"/>
      <c r="C862" s="4"/>
      <c r="D862" s="4"/>
      <c r="E862" s="4"/>
    </row>
    <row r="863" spans="2:5" x14ac:dyDescent="0.25">
      <c r="B863" s="4"/>
      <c r="C863" s="4"/>
      <c r="D863" s="4"/>
      <c r="E863" s="4"/>
    </row>
    <row r="864" spans="2:5" x14ac:dyDescent="0.25">
      <c r="B864" s="4"/>
      <c r="C864" s="4"/>
      <c r="D864" s="4"/>
      <c r="E864" s="4"/>
    </row>
    <row r="865" spans="2:5" x14ac:dyDescent="0.25">
      <c r="B865" s="4"/>
      <c r="C865" s="4"/>
      <c r="D865" s="4"/>
      <c r="E865" s="4"/>
    </row>
    <row r="866" spans="2:5" x14ac:dyDescent="0.25">
      <c r="B866" s="4"/>
      <c r="C866" s="4"/>
      <c r="D866" s="4"/>
      <c r="E866" s="4"/>
    </row>
    <row r="867" spans="2:5" x14ac:dyDescent="0.25">
      <c r="B867" s="4"/>
      <c r="C867" s="4"/>
      <c r="D867" s="4"/>
      <c r="E867" s="4"/>
    </row>
    <row r="868" spans="2:5" x14ac:dyDescent="0.25">
      <c r="B868" s="4"/>
      <c r="C868" s="4"/>
      <c r="D868" s="4"/>
      <c r="E868" s="4"/>
    </row>
    <row r="869" spans="2:5" x14ac:dyDescent="0.25">
      <c r="B869" s="4"/>
      <c r="C869" s="4"/>
      <c r="D869" s="4"/>
      <c r="E869" s="4"/>
    </row>
    <row r="870" spans="2:5" x14ac:dyDescent="0.25">
      <c r="B870" s="4"/>
      <c r="C870" s="4"/>
      <c r="D870" s="4"/>
      <c r="E870" s="4"/>
    </row>
    <row r="871" spans="2:5" x14ac:dyDescent="0.25">
      <c r="B871" s="4"/>
      <c r="C871" s="4"/>
      <c r="D871" s="4"/>
      <c r="E871" s="4"/>
    </row>
    <row r="872" spans="2:5" x14ac:dyDescent="0.25">
      <c r="B872" s="4"/>
      <c r="C872" s="4"/>
      <c r="D872" s="4"/>
      <c r="E872" s="4"/>
    </row>
    <row r="873" spans="2:5" x14ac:dyDescent="0.25">
      <c r="B873" s="4"/>
      <c r="C873" s="4"/>
      <c r="D873" s="4"/>
      <c r="E873" s="4"/>
    </row>
    <row r="874" spans="2:5" x14ac:dyDescent="0.25">
      <c r="B874" s="4"/>
      <c r="C874" s="4"/>
      <c r="D874" s="4"/>
      <c r="E874" s="4"/>
    </row>
    <row r="875" spans="2:5" x14ac:dyDescent="0.25">
      <c r="B875" s="4"/>
      <c r="C875" s="4"/>
      <c r="D875" s="4"/>
      <c r="E875" s="4"/>
    </row>
    <row r="876" spans="2:5" x14ac:dyDescent="0.25">
      <c r="B876" s="4"/>
      <c r="C876" s="4"/>
      <c r="D876" s="4"/>
      <c r="E876" s="4"/>
    </row>
    <row r="877" spans="2:5" x14ac:dyDescent="0.25">
      <c r="B877" s="4"/>
      <c r="C877" s="4"/>
      <c r="D877" s="4"/>
      <c r="E877" s="4"/>
    </row>
    <row r="878" spans="2:5" x14ac:dyDescent="0.25">
      <c r="B878" s="4"/>
      <c r="C878" s="4"/>
      <c r="D878" s="4"/>
      <c r="E878" s="4"/>
    </row>
    <row r="879" spans="2:5" x14ac:dyDescent="0.25">
      <c r="B879" s="4"/>
      <c r="C879" s="4"/>
      <c r="D879" s="4"/>
      <c r="E879" s="4"/>
    </row>
    <row r="880" spans="2:5" x14ac:dyDescent="0.25">
      <c r="B880" s="4"/>
      <c r="C880" s="4"/>
      <c r="D880" s="4"/>
      <c r="E880" s="4"/>
    </row>
    <row r="881" spans="2:5" x14ac:dyDescent="0.25">
      <c r="B881" s="4"/>
      <c r="C881" s="4"/>
      <c r="D881" s="4"/>
      <c r="E881" s="4"/>
    </row>
    <row r="882" spans="2:5" x14ac:dyDescent="0.25">
      <c r="B882" s="4"/>
      <c r="C882" s="4"/>
      <c r="D882" s="4"/>
      <c r="E882" s="4"/>
    </row>
    <row r="883" spans="2:5" x14ac:dyDescent="0.25">
      <c r="B883" s="4"/>
      <c r="C883" s="4"/>
      <c r="D883" s="4"/>
      <c r="E883" s="4"/>
    </row>
    <row r="884" spans="2:5" x14ac:dyDescent="0.25">
      <c r="B884" s="4"/>
      <c r="C884" s="4"/>
      <c r="D884" s="4"/>
      <c r="E884" s="4"/>
    </row>
    <row r="885" spans="2:5" x14ac:dyDescent="0.25">
      <c r="B885" s="4"/>
      <c r="C885" s="4"/>
      <c r="D885" s="4"/>
      <c r="E885" s="4"/>
    </row>
    <row r="886" spans="2:5" x14ac:dyDescent="0.25">
      <c r="B886" s="4"/>
      <c r="C886" s="4"/>
      <c r="D886" s="4"/>
      <c r="E886" s="4"/>
    </row>
    <row r="887" spans="2:5" x14ac:dyDescent="0.25">
      <c r="B887" s="4"/>
      <c r="C887" s="4"/>
      <c r="D887" s="4"/>
      <c r="E887" s="4"/>
    </row>
    <row r="888" spans="2:5" x14ac:dyDescent="0.25">
      <c r="B888" s="4"/>
      <c r="C888" s="4"/>
      <c r="D888" s="4"/>
      <c r="E888" s="4"/>
    </row>
    <row r="889" spans="2:5" x14ac:dyDescent="0.25">
      <c r="B889" s="4"/>
      <c r="C889" s="4"/>
      <c r="D889" s="4"/>
      <c r="E889" s="4"/>
    </row>
    <row r="890" spans="2:5" x14ac:dyDescent="0.25">
      <c r="B890" s="4"/>
      <c r="C890" s="4"/>
      <c r="D890" s="4"/>
      <c r="E890" s="4"/>
    </row>
    <row r="891" spans="2:5" x14ac:dyDescent="0.25">
      <c r="B891" s="4"/>
      <c r="C891" s="4"/>
      <c r="D891" s="4"/>
      <c r="E891" s="4"/>
    </row>
    <row r="892" spans="2:5" x14ac:dyDescent="0.25">
      <c r="B892" s="4"/>
      <c r="C892" s="4"/>
      <c r="D892" s="4"/>
      <c r="E892" s="4"/>
    </row>
    <row r="893" spans="2:5" x14ac:dyDescent="0.25">
      <c r="B893" s="4"/>
      <c r="C893" s="4"/>
      <c r="D893" s="4"/>
      <c r="E893" s="4"/>
    </row>
    <row r="894" spans="2:5" x14ac:dyDescent="0.25">
      <c r="B894" s="4"/>
      <c r="C894" s="4"/>
      <c r="D894" s="4"/>
      <c r="E894" s="4"/>
    </row>
    <row r="895" spans="2:5" x14ac:dyDescent="0.25">
      <c r="B895" s="4"/>
      <c r="C895" s="4"/>
      <c r="D895" s="4"/>
      <c r="E895" s="4"/>
    </row>
    <row r="896" spans="2:5" x14ac:dyDescent="0.25">
      <c r="B896" s="4"/>
      <c r="C896" s="4"/>
      <c r="D896" s="4"/>
      <c r="E896" s="4"/>
    </row>
    <row r="897" spans="2:5" x14ac:dyDescent="0.25">
      <c r="B897" s="4"/>
      <c r="C897" s="4"/>
      <c r="D897" s="4"/>
      <c r="E897" s="4"/>
    </row>
    <row r="898" spans="2:5" x14ac:dyDescent="0.25">
      <c r="B898" s="4"/>
      <c r="C898" s="4"/>
      <c r="D898" s="4"/>
      <c r="E898" s="4"/>
    </row>
    <row r="899" spans="2:5" x14ac:dyDescent="0.25">
      <c r="B899" s="4"/>
      <c r="C899" s="4"/>
      <c r="D899" s="4"/>
      <c r="E899" s="4"/>
    </row>
    <row r="900" spans="2:5" x14ac:dyDescent="0.25">
      <c r="B900" s="4"/>
      <c r="C900" s="4"/>
      <c r="D900" s="4"/>
      <c r="E900" s="4"/>
    </row>
    <row r="901" spans="2:5" x14ac:dyDescent="0.25">
      <c r="B901" s="4"/>
      <c r="C901" s="4"/>
      <c r="D901" s="4"/>
      <c r="E901" s="4"/>
    </row>
    <row r="902" spans="2:5" x14ac:dyDescent="0.25">
      <c r="B902" s="4"/>
      <c r="C902" s="4"/>
      <c r="D902" s="4"/>
      <c r="E902" s="4"/>
    </row>
    <row r="903" spans="2:5" x14ac:dyDescent="0.25">
      <c r="B903" s="4"/>
      <c r="C903" s="4"/>
      <c r="D903" s="4"/>
      <c r="E903" s="4"/>
    </row>
    <row r="904" spans="2:5" x14ac:dyDescent="0.25">
      <c r="B904" s="4"/>
      <c r="C904" s="4"/>
      <c r="D904" s="4"/>
      <c r="E904" s="4"/>
    </row>
    <row r="905" spans="2:5" x14ac:dyDescent="0.25">
      <c r="B905" s="4"/>
      <c r="C905" s="4"/>
      <c r="D905" s="4"/>
      <c r="E905" s="4"/>
    </row>
    <row r="906" spans="2:5" x14ac:dyDescent="0.25">
      <c r="B906" s="4"/>
      <c r="C906" s="4"/>
      <c r="D906" s="4"/>
      <c r="E906" s="4"/>
    </row>
    <row r="907" spans="2:5" x14ac:dyDescent="0.25">
      <c r="B907" s="4"/>
      <c r="C907" s="4"/>
      <c r="D907" s="4"/>
      <c r="E907" s="4"/>
    </row>
    <row r="908" spans="2:5" x14ac:dyDescent="0.25">
      <c r="B908" s="4"/>
      <c r="C908" s="4"/>
      <c r="D908" s="4"/>
      <c r="E908" s="4"/>
    </row>
    <row r="909" spans="2:5" x14ac:dyDescent="0.25">
      <c r="B909" s="4"/>
      <c r="C909" s="4"/>
      <c r="D909" s="4"/>
      <c r="E909" s="4"/>
    </row>
    <row r="910" spans="2:5" x14ac:dyDescent="0.25">
      <c r="B910" s="4"/>
      <c r="C910" s="4"/>
      <c r="D910" s="4"/>
      <c r="E910" s="4"/>
    </row>
    <row r="911" spans="2:5" x14ac:dyDescent="0.25">
      <c r="B911" s="4"/>
      <c r="C911" s="4"/>
      <c r="D911" s="4"/>
      <c r="E911" s="4"/>
    </row>
    <row r="912" spans="2:5" x14ac:dyDescent="0.25">
      <c r="B912" s="4"/>
      <c r="C912" s="4"/>
      <c r="D912" s="4"/>
      <c r="E912" s="4"/>
    </row>
    <row r="913" spans="2:5" x14ac:dyDescent="0.25">
      <c r="B913" s="4"/>
      <c r="C913" s="4"/>
      <c r="D913" s="4"/>
      <c r="E913" s="4"/>
    </row>
    <row r="914" spans="2:5" x14ac:dyDescent="0.25">
      <c r="B914" s="4"/>
      <c r="C914" s="4"/>
      <c r="D914" s="4"/>
      <c r="E914" s="4"/>
    </row>
    <row r="915" spans="2:5" x14ac:dyDescent="0.25">
      <c r="B915" s="4"/>
      <c r="C915" s="4"/>
      <c r="D915" s="4"/>
      <c r="E915" s="4"/>
    </row>
    <row r="916" spans="2:5" x14ac:dyDescent="0.25">
      <c r="B916" s="4"/>
      <c r="C916" s="4"/>
      <c r="D916" s="4"/>
      <c r="E916" s="4"/>
    </row>
    <row r="917" spans="2:5" x14ac:dyDescent="0.25">
      <c r="B917" s="4"/>
      <c r="C917" s="4"/>
      <c r="D917" s="4"/>
      <c r="E917" s="4"/>
    </row>
    <row r="918" spans="2:5" x14ac:dyDescent="0.25">
      <c r="B918" s="4"/>
      <c r="C918" s="4"/>
      <c r="D918" s="4"/>
      <c r="E918" s="4"/>
    </row>
    <row r="919" spans="2:5" x14ac:dyDescent="0.25">
      <c r="B919" s="4"/>
      <c r="C919" s="4"/>
      <c r="D919" s="4"/>
      <c r="E919" s="4"/>
    </row>
    <row r="920" spans="2:5" x14ac:dyDescent="0.25">
      <c r="B920" s="4"/>
      <c r="C920" s="4"/>
      <c r="D920" s="4"/>
      <c r="E920" s="4"/>
    </row>
    <row r="921" spans="2:5" x14ac:dyDescent="0.25">
      <c r="B921" s="4"/>
      <c r="C921" s="4"/>
      <c r="D921" s="4"/>
      <c r="E921" s="4"/>
    </row>
    <row r="922" spans="2:5" x14ac:dyDescent="0.25">
      <c r="B922" s="4"/>
      <c r="C922" s="4"/>
      <c r="D922" s="4"/>
      <c r="E922" s="4"/>
    </row>
    <row r="923" spans="2:5" x14ac:dyDescent="0.25">
      <c r="B923" s="4"/>
      <c r="C923" s="4"/>
      <c r="D923" s="4"/>
      <c r="E923" s="4"/>
    </row>
    <row r="924" spans="2:5" x14ac:dyDescent="0.25">
      <c r="B924" s="4"/>
      <c r="C924" s="4"/>
      <c r="D924" s="4"/>
      <c r="E924" s="4"/>
    </row>
    <row r="925" spans="2:5" x14ac:dyDescent="0.25">
      <c r="B925" s="4"/>
      <c r="C925" s="4"/>
      <c r="D925" s="4"/>
      <c r="E925" s="4"/>
    </row>
    <row r="926" spans="2:5" x14ac:dyDescent="0.25">
      <c r="B926" s="4"/>
      <c r="C926" s="4"/>
      <c r="D926" s="4"/>
      <c r="E926" s="4"/>
    </row>
    <row r="927" spans="2:5" x14ac:dyDescent="0.25">
      <c r="B927" s="4"/>
      <c r="C927" s="4"/>
      <c r="D927" s="4"/>
      <c r="E927" s="4"/>
    </row>
    <row r="928" spans="2:5" x14ac:dyDescent="0.25">
      <c r="B928" s="4"/>
      <c r="C928" s="4"/>
      <c r="D928" s="4"/>
      <c r="E928" s="4"/>
    </row>
    <row r="929" spans="2:5" x14ac:dyDescent="0.25">
      <c r="B929" s="4"/>
      <c r="C929" s="4"/>
      <c r="D929" s="4"/>
      <c r="E929" s="4"/>
    </row>
    <row r="930" spans="2:5" x14ac:dyDescent="0.25">
      <c r="B930" s="4"/>
      <c r="C930" s="4"/>
      <c r="D930" s="4"/>
      <c r="E930" s="4"/>
    </row>
    <row r="931" spans="2:5" x14ac:dyDescent="0.25">
      <c r="B931" s="4"/>
      <c r="C931" s="4"/>
      <c r="D931" s="4"/>
      <c r="E931" s="4"/>
    </row>
    <row r="932" spans="2:5" x14ac:dyDescent="0.25">
      <c r="B932" s="4"/>
      <c r="C932" s="4"/>
      <c r="D932" s="4"/>
      <c r="E932" s="4"/>
    </row>
    <row r="933" spans="2:5" x14ac:dyDescent="0.25">
      <c r="B933" s="4"/>
      <c r="C933" s="4"/>
      <c r="D933" s="4"/>
      <c r="E933" s="4"/>
    </row>
    <row r="934" spans="2:5" x14ac:dyDescent="0.25">
      <c r="B934" s="4"/>
      <c r="C934" s="4"/>
      <c r="D934" s="4"/>
      <c r="E934" s="4"/>
    </row>
    <row r="935" spans="2:5" x14ac:dyDescent="0.25">
      <c r="B935" s="4"/>
      <c r="C935" s="4"/>
      <c r="D935" s="4"/>
      <c r="E935" s="4"/>
    </row>
    <row r="936" spans="2:5" x14ac:dyDescent="0.25">
      <c r="B936" s="4"/>
      <c r="C936" s="4"/>
      <c r="D936" s="4"/>
      <c r="E936" s="4"/>
    </row>
    <row r="937" spans="2:5" x14ac:dyDescent="0.25">
      <c r="B937" s="4"/>
      <c r="C937" s="4"/>
      <c r="D937" s="4"/>
      <c r="E937" s="4"/>
    </row>
    <row r="938" spans="2:5" x14ac:dyDescent="0.25">
      <c r="B938" s="4"/>
      <c r="C938" s="4"/>
      <c r="D938" s="4"/>
      <c r="E938" s="4"/>
    </row>
    <row r="939" spans="2:5" x14ac:dyDescent="0.25">
      <c r="B939" s="4"/>
      <c r="C939" s="4"/>
      <c r="D939" s="4"/>
      <c r="E939" s="4"/>
    </row>
    <row r="940" spans="2:5" x14ac:dyDescent="0.25">
      <c r="B940" s="4"/>
      <c r="C940" s="4"/>
      <c r="D940" s="4"/>
      <c r="E940" s="4"/>
    </row>
    <row r="941" spans="2:5" x14ac:dyDescent="0.25">
      <c r="B941" s="4"/>
      <c r="C941" s="4"/>
      <c r="D941" s="4"/>
      <c r="E941" s="4"/>
    </row>
    <row r="942" spans="2:5" x14ac:dyDescent="0.25">
      <c r="B942" s="4"/>
      <c r="C942" s="4"/>
      <c r="D942" s="4"/>
      <c r="E942" s="4"/>
    </row>
    <row r="943" spans="2:5" x14ac:dyDescent="0.25">
      <c r="B943" s="4"/>
      <c r="C943" s="4"/>
      <c r="D943" s="4"/>
      <c r="E943" s="4"/>
    </row>
    <row r="944" spans="2:5" x14ac:dyDescent="0.25">
      <c r="B944" s="4"/>
      <c r="C944" s="4"/>
      <c r="D944" s="4"/>
      <c r="E944" s="4"/>
    </row>
    <row r="945" spans="2:5" x14ac:dyDescent="0.25">
      <c r="B945" s="4"/>
      <c r="C945" s="4"/>
      <c r="D945" s="4"/>
      <c r="E945" s="4"/>
    </row>
    <row r="946" spans="2:5" x14ac:dyDescent="0.25">
      <c r="B946" s="4"/>
      <c r="C946" s="4"/>
      <c r="D946" s="4"/>
      <c r="E946" s="4"/>
    </row>
    <row r="947" spans="2:5" x14ac:dyDescent="0.25">
      <c r="B947" s="4"/>
      <c r="C947" s="4"/>
      <c r="D947" s="4"/>
      <c r="E947" s="4"/>
    </row>
    <row r="948" spans="2:5" x14ac:dyDescent="0.25">
      <c r="B948" s="4"/>
      <c r="C948" s="4"/>
      <c r="D948" s="4"/>
      <c r="E948" s="4"/>
    </row>
    <row r="949" spans="2:5" x14ac:dyDescent="0.25">
      <c r="B949" s="4"/>
      <c r="C949" s="4"/>
      <c r="D949" s="4"/>
      <c r="E949" s="4"/>
    </row>
    <row r="950" spans="2:5" x14ac:dyDescent="0.25">
      <c r="B950" s="4"/>
      <c r="C950" s="4"/>
      <c r="D950" s="4"/>
      <c r="E950" s="4"/>
    </row>
    <row r="951" spans="2:5" x14ac:dyDescent="0.25">
      <c r="B951" s="4"/>
      <c r="C951" s="4"/>
      <c r="D951" s="4"/>
      <c r="E951" s="4"/>
    </row>
    <row r="952" spans="2:5" x14ac:dyDescent="0.25">
      <c r="B952" s="4"/>
      <c r="C952" s="4"/>
      <c r="D952" s="4"/>
      <c r="E952" s="4"/>
    </row>
    <row r="953" spans="2:5" x14ac:dyDescent="0.25">
      <c r="B953" s="4"/>
      <c r="C953" s="4"/>
      <c r="D953" s="4"/>
      <c r="E953" s="4"/>
    </row>
    <row r="954" spans="2:5" x14ac:dyDescent="0.25">
      <c r="B954" s="4"/>
      <c r="C954" s="4"/>
      <c r="D954" s="4"/>
      <c r="E954" s="4"/>
    </row>
    <row r="955" spans="2:5" x14ac:dyDescent="0.25">
      <c r="B955" s="4"/>
      <c r="C955" s="4"/>
      <c r="D955" s="4"/>
      <c r="E955" s="4"/>
    </row>
    <row r="956" spans="2:5" x14ac:dyDescent="0.25">
      <c r="B956" s="4"/>
      <c r="C956" s="4"/>
      <c r="D956" s="4"/>
      <c r="E956" s="4"/>
    </row>
    <row r="957" spans="2:5" x14ac:dyDescent="0.25">
      <c r="B957" s="4"/>
      <c r="C957" s="4"/>
      <c r="D957" s="4"/>
      <c r="E957" s="4"/>
    </row>
    <row r="958" spans="2:5" x14ac:dyDescent="0.25">
      <c r="B958" s="4"/>
      <c r="C958" s="4"/>
      <c r="D958" s="4"/>
      <c r="E958" s="4"/>
    </row>
    <row r="959" spans="2:5" x14ac:dyDescent="0.25">
      <c r="B959" s="4"/>
      <c r="C959" s="4"/>
      <c r="D959" s="4"/>
      <c r="E959" s="4"/>
    </row>
    <row r="960" spans="2:5" x14ac:dyDescent="0.25">
      <c r="B960" s="4"/>
      <c r="C960" s="4"/>
      <c r="D960" s="4"/>
      <c r="E960" s="4"/>
    </row>
    <row r="961" spans="2:5" x14ac:dyDescent="0.25">
      <c r="B961" s="4"/>
      <c r="C961" s="4"/>
      <c r="D961" s="4"/>
      <c r="E961" s="4"/>
    </row>
    <row r="962" spans="2:5" x14ac:dyDescent="0.25">
      <c r="B962" s="4"/>
      <c r="C962" s="4"/>
      <c r="D962" s="4"/>
      <c r="E962" s="4"/>
    </row>
    <row r="963" spans="2:5" x14ac:dyDescent="0.25">
      <c r="B963" s="4"/>
      <c r="C963" s="4"/>
      <c r="D963" s="4"/>
      <c r="E963" s="4"/>
    </row>
    <row r="964" spans="2:5" x14ac:dyDescent="0.25">
      <c r="B964" s="4"/>
      <c r="C964" s="4"/>
      <c r="D964" s="4"/>
      <c r="E964" s="4"/>
    </row>
    <row r="965" spans="2:5" x14ac:dyDescent="0.25">
      <c r="B965" s="4"/>
      <c r="C965" s="4"/>
      <c r="D965" s="4"/>
      <c r="E965" s="4"/>
    </row>
    <row r="966" spans="2:5" x14ac:dyDescent="0.25">
      <c r="B966" s="4"/>
      <c r="C966" s="4"/>
      <c r="D966" s="4"/>
      <c r="E966" s="4"/>
    </row>
    <row r="967" spans="2:5" x14ac:dyDescent="0.25">
      <c r="B967" s="4"/>
      <c r="C967" s="4"/>
      <c r="D967" s="4"/>
      <c r="E967" s="4"/>
    </row>
    <row r="968" spans="2:5" x14ac:dyDescent="0.25">
      <c r="B968" s="4"/>
      <c r="C968" s="4"/>
      <c r="D968" s="4"/>
      <c r="E968" s="4"/>
    </row>
    <row r="969" spans="2:5" x14ac:dyDescent="0.25">
      <c r="B969" s="4"/>
      <c r="C969" s="4"/>
      <c r="D969" s="4"/>
      <c r="E969" s="4"/>
    </row>
    <row r="970" spans="2:5" x14ac:dyDescent="0.25">
      <c r="B970" s="4"/>
      <c r="C970" s="4"/>
      <c r="D970" s="4"/>
      <c r="E970" s="4"/>
    </row>
    <row r="971" spans="2:5" x14ac:dyDescent="0.25">
      <c r="B971" s="4"/>
      <c r="C971" s="4"/>
      <c r="D971" s="4"/>
      <c r="E971" s="4"/>
    </row>
    <row r="972" spans="2:5" x14ac:dyDescent="0.25">
      <c r="B972" s="4"/>
      <c r="C972" s="4"/>
      <c r="D972" s="4"/>
      <c r="E972" s="4"/>
    </row>
    <row r="973" spans="2:5" x14ac:dyDescent="0.25">
      <c r="B973" s="4"/>
      <c r="C973" s="4"/>
      <c r="D973" s="4"/>
      <c r="E973" s="4"/>
    </row>
    <row r="974" spans="2:5" x14ac:dyDescent="0.25">
      <c r="B974" s="4"/>
      <c r="C974" s="4"/>
      <c r="D974" s="4"/>
      <c r="E974" s="4"/>
    </row>
    <row r="975" spans="2:5" x14ac:dyDescent="0.25">
      <c r="B975" s="4"/>
      <c r="C975" s="4"/>
      <c r="D975" s="4"/>
      <c r="E975" s="4"/>
    </row>
    <row r="976" spans="2:5" x14ac:dyDescent="0.25">
      <c r="B976" s="4"/>
      <c r="C976" s="4"/>
      <c r="D976" s="4"/>
      <c r="E976" s="4"/>
    </row>
    <row r="977" spans="2:5" x14ac:dyDescent="0.25">
      <c r="B977" s="4"/>
      <c r="C977" s="4"/>
      <c r="D977" s="4"/>
      <c r="E977" s="4"/>
    </row>
    <row r="978" spans="2:5" x14ac:dyDescent="0.25">
      <c r="B978" s="4"/>
      <c r="C978" s="4"/>
      <c r="D978" s="4"/>
      <c r="E978" s="4"/>
    </row>
    <row r="979" spans="2:5" x14ac:dyDescent="0.25">
      <c r="B979" s="4"/>
      <c r="C979" s="4"/>
      <c r="D979" s="4"/>
      <c r="E979" s="4"/>
    </row>
    <row r="980" spans="2:5" x14ac:dyDescent="0.25">
      <c r="B980" s="4"/>
      <c r="C980" s="4"/>
      <c r="D980" s="4"/>
      <c r="E980" s="4"/>
    </row>
    <row r="981" spans="2:5" x14ac:dyDescent="0.25">
      <c r="B981" s="4"/>
      <c r="C981" s="4"/>
      <c r="D981" s="4"/>
      <c r="E981" s="4"/>
    </row>
    <row r="982" spans="2:5" x14ac:dyDescent="0.25">
      <c r="B982" s="4"/>
      <c r="C982" s="4"/>
      <c r="D982" s="4"/>
      <c r="E982" s="4"/>
    </row>
    <row r="983" spans="2:5" x14ac:dyDescent="0.25">
      <c r="B983" s="4"/>
      <c r="C983" s="4"/>
      <c r="D983" s="4"/>
      <c r="E983" s="4"/>
    </row>
    <row r="984" spans="2:5" x14ac:dyDescent="0.25">
      <c r="B984" s="4"/>
      <c r="C984" s="4"/>
      <c r="D984" s="4"/>
      <c r="E984" s="4"/>
    </row>
    <row r="985" spans="2:5" x14ac:dyDescent="0.25">
      <c r="B985" s="4"/>
      <c r="C985" s="4"/>
      <c r="D985" s="4"/>
      <c r="E985" s="4"/>
    </row>
    <row r="986" spans="2:5" x14ac:dyDescent="0.25">
      <c r="B986" s="4"/>
      <c r="C986" s="4"/>
      <c r="D986" s="4"/>
      <c r="E986" s="4"/>
    </row>
    <row r="987" spans="2:5" x14ac:dyDescent="0.25">
      <c r="B987" s="4"/>
      <c r="C987" s="4"/>
      <c r="D987" s="4"/>
      <c r="E987" s="4"/>
    </row>
    <row r="988" spans="2:5" x14ac:dyDescent="0.25">
      <c r="B988" s="4"/>
      <c r="C988" s="4"/>
      <c r="D988" s="4"/>
      <c r="E988" s="4"/>
    </row>
    <row r="989" spans="2:5" x14ac:dyDescent="0.25">
      <c r="B989" s="4"/>
      <c r="C989" s="4"/>
      <c r="D989" s="4"/>
      <c r="E989" s="4"/>
    </row>
    <row r="990" spans="2:5" x14ac:dyDescent="0.25">
      <c r="B990" s="4"/>
      <c r="C990" s="4"/>
      <c r="D990" s="4"/>
      <c r="E990" s="4"/>
    </row>
    <row r="991" spans="2:5" x14ac:dyDescent="0.25">
      <c r="B991" s="4"/>
      <c r="C991" s="4"/>
      <c r="D991" s="4"/>
      <c r="E991" s="4"/>
    </row>
    <row r="992" spans="2:5" x14ac:dyDescent="0.25">
      <c r="B992" s="4"/>
      <c r="C992" s="4"/>
      <c r="D992" s="4"/>
      <c r="E992" s="4"/>
    </row>
    <row r="993" spans="2:5" x14ac:dyDescent="0.25">
      <c r="B993" s="4"/>
      <c r="C993" s="4"/>
      <c r="D993" s="4"/>
      <c r="E993" s="4"/>
    </row>
    <row r="994" spans="2:5" x14ac:dyDescent="0.25">
      <c r="B994" s="4"/>
      <c r="C994" s="4"/>
      <c r="D994" s="4"/>
      <c r="E994" s="4"/>
    </row>
    <row r="995" spans="2:5" x14ac:dyDescent="0.25">
      <c r="B995" s="4"/>
      <c r="C995" s="4"/>
      <c r="D995" s="4"/>
      <c r="E995" s="4"/>
    </row>
    <row r="996" spans="2:5" x14ac:dyDescent="0.25">
      <c r="B996" s="4"/>
      <c r="C996" s="4"/>
      <c r="D996" s="4"/>
      <c r="E996" s="4"/>
    </row>
    <row r="997" spans="2:5" x14ac:dyDescent="0.25">
      <c r="B997" s="4"/>
      <c r="C997" s="4"/>
      <c r="D997" s="4"/>
      <c r="E997" s="4"/>
    </row>
    <row r="998" spans="2:5" x14ac:dyDescent="0.25">
      <c r="B998" s="4"/>
      <c r="C998" s="4"/>
      <c r="D998" s="4"/>
      <c r="E998" s="4"/>
    </row>
    <row r="999" spans="2:5" x14ac:dyDescent="0.25">
      <c r="B999" s="4"/>
      <c r="C999" s="4"/>
      <c r="D999" s="4"/>
      <c r="E999" s="4"/>
    </row>
    <row r="1000" spans="2:5" x14ac:dyDescent="0.25">
      <c r="B1000" s="4"/>
      <c r="C1000" s="4"/>
      <c r="D1000" s="4"/>
      <c r="E1000" s="4"/>
    </row>
    <row r="1001" spans="2:5" x14ac:dyDescent="0.25">
      <c r="B1001" s="4"/>
      <c r="C1001" s="4"/>
      <c r="D1001" s="4"/>
      <c r="E1001" s="4"/>
    </row>
    <row r="1002" spans="2:5" x14ac:dyDescent="0.25">
      <c r="B1002" s="4"/>
      <c r="C1002" s="4"/>
      <c r="D1002" s="4"/>
      <c r="E1002" s="4"/>
    </row>
    <row r="1003" spans="2:5" x14ac:dyDescent="0.25">
      <c r="B1003" s="4"/>
      <c r="C1003" s="4"/>
      <c r="D1003" s="4"/>
      <c r="E1003" s="4"/>
    </row>
    <row r="1004" spans="2:5" x14ac:dyDescent="0.25">
      <c r="B1004" s="4"/>
      <c r="C1004" s="4"/>
      <c r="D1004" s="4"/>
      <c r="E1004" s="4"/>
    </row>
    <row r="1005" spans="2:5" x14ac:dyDescent="0.25">
      <c r="B1005" s="4"/>
      <c r="C1005" s="4"/>
      <c r="D1005" s="4"/>
      <c r="E1005" s="4"/>
    </row>
    <row r="1006" spans="2:5" x14ac:dyDescent="0.25">
      <c r="B1006" s="4"/>
      <c r="C1006" s="4"/>
      <c r="D1006" s="4"/>
      <c r="E1006" s="4"/>
    </row>
    <row r="1007" spans="2:5" x14ac:dyDescent="0.25">
      <c r="B1007" s="4"/>
      <c r="C1007" s="4"/>
      <c r="D1007" s="4"/>
      <c r="E1007" s="4"/>
    </row>
    <row r="1008" spans="2:5" x14ac:dyDescent="0.25">
      <c r="B1008" s="4"/>
      <c r="C1008" s="4"/>
      <c r="D1008" s="4"/>
      <c r="E1008" s="4"/>
    </row>
    <row r="1009" spans="2:5" x14ac:dyDescent="0.25">
      <c r="B1009" s="4"/>
      <c r="C1009" s="4"/>
      <c r="D1009" s="4"/>
      <c r="E1009" s="4"/>
    </row>
    <row r="1010" spans="2:5" x14ac:dyDescent="0.25">
      <c r="B1010" s="4"/>
      <c r="C1010" s="4"/>
      <c r="D1010" s="4"/>
      <c r="E1010" s="4"/>
    </row>
  </sheetData>
  <pageMargins left="0.7" right="0.7" top="0.75" bottom="0.75" header="0.3" footer="0.3"/>
  <pageSetup paperSize="9" orientation="portrait" r:id="rId1"/>
  <headerFooter>
    <oddHeader>&amp;C&amp;"-,Negrita"&amp;14&amp;K0070C0AMORTIZATION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Hoja1</vt:lpstr>
      <vt:lpstr>Cálculos y conversiones</vt:lpstr>
      <vt:lpstr>Tabla</vt:lpstr>
      <vt:lpstr>Renglón</vt:lpstr>
      <vt:lpstr>Impresión de tabla</vt:lpstr>
      <vt:lpstr>Amort</vt:lpstr>
      <vt:lpstr>Renglón</vt:lpstr>
      <vt:lpstr>TABLA_B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2025-02-16T20:39:13Z</dcterms:modified>
</cp:coreProperties>
</file>