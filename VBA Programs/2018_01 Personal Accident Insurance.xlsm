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filterPrivacy="1" codeName="ThisWorkbook" defaultThemeVersion="124226"/>
  <xr:revisionPtr revIDLastSave="0" documentId="13_ncr:1_{84D31433-3E78-491C-BE78-6599ADEAC857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Hoja1" sheetId="1" r:id="rId1"/>
    <sheet name="Hoja2" sheetId="2" r:id="rId2"/>
    <sheet name="Excel" sheetId="3" r:id="rId3"/>
  </sheets>
  <definedNames>
    <definedName name="AJ">Hoja1!$G$2:$G$11</definedName>
    <definedName name="Cob">Hoja1!$U$4:$AE$9</definedName>
    <definedName name="EST">Hoja1!$S$2:$S$33</definedName>
    <definedName name="Finale">Hoja2!$J$19:$M$25</definedName>
    <definedName name="MH">Hoja1!$V$2:$AE$3</definedName>
    <definedName name="P">Hoja1!$A$2:$A$52</definedName>
    <definedName name="PR">Hoja1!$A$2:$B$53</definedName>
    <definedName name="PRC">Hoja1!$A$2:$B$625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2" i="2" l="1"/>
  <c r="K20" i="2"/>
  <c r="K14" i="2"/>
  <c r="E1" i="1"/>
  <c r="K17" i="2" s="1"/>
  <c r="K23" i="2"/>
  <c r="G9" i="2"/>
  <c r="AE8" i="1" l="1"/>
  <c r="AD8" i="1"/>
  <c r="AC8" i="1"/>
  <c r="AB8" i="1"/>
  <c r="AA8" i="1"/>
  <c r="Z8" i="1"/>
  <c r="Y8" i="1"/>
  <c r="X8" i="1"/>
  <c r="W8" i="1"/>
  <c r="V8" i="1"/>
  <c r="V9" i="1"/>
  <c r="K21" i="2" l="1"/>
  <c r="E10" i="2" l="1"/>
  <c r="L23" i="2" l="1"/>
  <c r="G8" i="2"/>
  <c r="G14" i="2"/>
  <c r="M27" i="2" s="1"/>
  <c r="E7" i="2"/>
  <c r="L22" i="2" s="1"/>
  <c r="E6" i="2"/>
  <c r="L21" i="2" s="1"/>
  <c r="E5" i="2"/>
  <c r="L20" i="2" s="1"/>
  <c r="C2" i="2"/>
  <c r="K15" i="2" l="1"/>
  <c r="G5" i="2"/>
  <c r="M20" i="2" s="1"/>
  <c r="AJ4" i="1" l="1"/>
  <c r="G7" i="2" s="1"/>
  <c r="M22" i="2" s="1"/>
  <c r="AJ5" i="1"/>
  <c r="AJ6" i="1"/>
  <c r="AE6" i="1" l="1"/>
  <c r="AD6" i="1"/>
  <c r="AC6" i="1"/>
  <c r="AB6" i="1"/>
  <c r="AA6" i="1"/>
  <c r="Z6" i="1"/>
  <c r="Y6" i="1"/>
  <c r="X6" i="1"/>
  <c r="W6" i="1"/>
  <c r="V6" i="1"/>
  <c r="AJ3" i="1" s="1"/>
  <c r="G6" i="2" s="1"/>
  <c r="M21" i="2" s="1"/>
  <c r="AE5" i="1"/>
  <c r="AD5" i="1"/>
  <c r="AC5" i="1"/>
  <c r="AB5" i="1"/>
  <c r="AA5" i="1"/>
  <c r="Z5" i="1"/>
  <c r="Y5" i="1"/>
  <c r="X5" i="1"/>
  <c r="V5" i="1"/>
  <c r="AJ2" i="1" s="1"/>
  <c r="AE4" i="1"/>
  <c r="AD4" i="1"/>
  <c r="AC4" i="1"/>
  <c r="AB4" i="1"/>
  <c r="AA4" i="1"/>
  <c r="Z4" i="1"/>
  <c r="Y4" i="1"/>
  <c r="X4" i="1"/>
  <c r="V4" i="1"/>
  <c r="AJ1" i="1" s="1"/>
  <c r="W5" i="1"/>
  <c r="W4" i="1"/>
  <c r="G10" i="2"/>
  <c r="G12" i="2" l="1"/>
  <c r="G13" i="2" s="1"/>
  <c r="M26" i="2" s="1"/>
  <c r="M23" i="2"/>
  <c r="G17" i="2" l="1"/>
  <c r="M32" i="2" s="1"/>
  <c r="M25" i="2"/>
  <c r="M29" i="2" s="1"/>
  <c r="M30" i="2" s="1"/>
</calcChain>
</file>

<file path=xl/sharedStrings.xml><?xml version="1.0" encoding="utf-8"?>
<sst xmlns="http://schemas.openxmlformats.org/spreadsheetml/2006/main" count="227" uniqueCount="137">
  <si>
    <t>A</t>
  </si>
  <si>
    <t>C</t>
  </si>
  <si>
    <t>B</t>
  </si>
  <si>
    <t>D</t>
  </si>
  <si>
    <t>E</t>
  </si>
  <si>
    <t>F</t>
  </si>
  <si>
    <t>Aguascalientes</t>
  </si>
  <si>
    <t>Campeche</t>
  </si>
  <si>
    <t>Chiapas</t>
  </si>
  <si>
    <t>Chihuahua</t>
  </si>
  <si>
    <t>Coahuila</t>
  </si>
  <si>
    <t>Colima</t>
  </si>
  <si>
    <t>Durango</t>
  </si>
  <si>
    <t>Guanajuato</t>
  </si>
  <si>
    <t>Hidalgo</t>
  </si>
  <si>
    <t>Jalisco</t>
  </si>
  <si>
    <t>Estado de México</t>
  </si>
  <si>
    <t>Distrito Federal</t>
  </si>
  <si>
    <t>Baja California</t>
  </si>
  <si>
    <t>Baja California Sur</t>
  </si>
  <si>
    <t>Guerrero</t>
  </si>
  <si>
    <t>Michoacán</t>
  </si>
  <si>
    <t>Morelos</t>
  </si>
  <si>
    <t>Nayarit</t>
  </si>
  <si>
    <t>Nuevo León</t>
  </si>
  <si>
    <t>Oaxaca</t>
  </si>
  <si>
    <t>Puebla</t>
  </si>
  <si>
    <t>Querétaro</t>
  </si>
  <si>
    <t>Quintana Roo</t>
  </si>
  <si>
    <t>San Luis Potosí</t>
  </si>
  <si>
    <t>Sinaloa</t>
  </si>
  <si>
    <t>Sonora</t>
  </si>
  <si>
    <t>Tabasco</t>
  </si>
  <si>
    <t>Tamaulipas</t>
  </si>
  <si>
    <t>Tlaxcala</t>
  </si>
  <si>
    <t>Veracruz</t>
  </si>
  <si>
    <t>Yucatán</t>
  </si>
  <si>
    <t>Zacatecas</t>
  </si>
  <si>
    <t>Sastre</t>
  </si>
  <si>
    <t>Inspector</t>
  </si>
  <si>
    <t>G</t>
  </si>
  <si>
    <t>H</t>
  </si>
  <si>
    <t>Detective</t>
  </si>
  <si>
    <t>I</t>
  </si>
  <si>
    <t>J</t>
  </si>
  <si>
    <t>Occupation</t>
  </si>
  <si>
    <t>Risk Type</t>
  </si>
  <si>
    <t>Risk Types</t>
  </si>
  <si>
    <t>Clerk</t>
  </si>
  <si>
    <t>Pharmacist</t>
  </si>
  <si>
    <t>Optometrist</t>
  </si>
  <si>
    <t>Teacher</t>
  </si>
  <si>
    <t>Actuary</t>
  </si>
  <si>
    <t>Librarian</t>
  </si>
  <si>
    <t>Tailor</t>
  </si>
  <si>
    <t>Draftsman</t>
  </si>
  <si>
    <t>Student</t>
  </si>
  <si>
    <t>Electronics repairman</t>
  </si>
  <si>
    <t>Appliance repairman</t>
  </si>
  <si>
    <t>Traveling agent</t>
  </si>
  <si>
    <t>Traveling auditor</t>
  </si>
  <si>
    <t>Traveling merchant</t>
  </si>
  <si>
    <t>Traveling propagandist</t>
  </si>
  <si>
    <t>Engineer</t>
  </si>
  <si>
    <t>Architect</t>
  </si>
  <si>
    <t>Superintendent</t>
  </si>
  <si>
    <t>Contractor</t>
  </si>
  <si>
    <t>Quotes table</t>
  </si>
  <si>
    <t>Taxi driver</t>
  </si>
  <si>
    <t>Public transport driver</t>
  </si>
  <si>
    <t>Move driver</t>
  </si>
  <si>
    <t>Plumber</t>
  </si>
  <si>
    <t>Glazier</t>
  </si>
  <si>
    <t>Mechanic</t>
  </si>
  <si>
    <t>Shoemaker</t>
  </si>
  <si>
    <t>Gas station employee</t>
  </si>
  <si>
    <t>Painter</t>
  </si>
  <si>
    <t>Foreign bus driver</t>
  </si>
  <si>
    <t>Housewife</t>
  </si>
  <si>
    <t>Accountant</t>
  </si>
  <si>
    <t>Antenna installer</t>
  </si>
  <si>
    <t>Elevator installer</t>
  </si>
  <si>
    <t>Construction worker</t>
  </si>
  <si>
    <t>High-voltage electrician</t>
  </si>
  <si>
    <t>Policeman</t>
  </si>
  <si>
    <t>Bank funds driver</t>
  </si>
  <si>
    <t>Ambulance driver</t>
  </si>
  <si>
    <t>Heavy machinery operator</t>
  </si>
  <si>
    <t>Delivery man with motorcycle</t>
  </si>
  <si>
    <t>Window cleaner</t>
  </si>
  <si>
    <t>Power plant operator</t>
  </si>
  <si>
    <t>Firefighter</t>
  </si>
  <si>
    <t>Steel structure builder</t>
  </si>
  <si>
    <t>Oil well driller</t>
  </si>
  <si>
    <t>Television tower builder</t>
  </si>
  <si>
    <t>Diver</t>
  </si>
  <si>
    <t>Boxer</t>
  </si>
  <si>
    <t>Bullfighter</t>
  </si>
  <si>
    <t>Professional extreme athlete</t>
  </si>
  <si>
    <t>States</t>
  </si>
  <si>
    <t>Accidental Death</t>
  </si>
  <si>
    <t>Body-part Loss A</t>
  </si>
  <si>
    <t>Body-part Loss B</t>
  </si>
  <si>
    <t>Daily Indemnity</t>
  </si>
  <si>
    <t>Medical Expenses Refund (variable)</t>
  </si>
  <si>
    <t>Medical Expenses Refund (base)</t>
  </si>
  <si>
    <t>Medical Expenses Refund</t>
  </si>
  <si>
    <t>Body-part Loss</t>
  </si>
  <si>
    <t>Covered</t>
  </si>
  <si>
    <t>Insured Sum</t>
  </si>
  <si>
    <t>Coverage</t>
  </si>
  <si>
    <t>Net Premium</t>
  </si>
  <si>
    <t>Total Cost</t>
  </si>
  <si>
    <t>Name</t>
  </si>
  <si>
    <t>Age</t>
  </si>
  <si>
    <t>Quote</t>
  </si>
  <si>
    <t>Yes</t>
  </si>
  <si>
    <t>Administration costs</t>
  </si>
  <si>
    <t>Age surcharges</t>
  </si>
  <si>
    <t>Total Net Premium</t>
  </si>
  <si>
    <t>MER (variable)</t>
  </si>
  <si>
    <t>MER (base)</t>
  </si>
  <si>
    <t>Data Scientist</t>
  </si>
  <si>
    <t>PERSONAL ACCIDENT INSURANCE QUOTATION</t>
  </si>
  <si>
    <t>(+) Age Surcharges</t>
  </si>
  <si>
    <t>(=) Total Cost</t>
  </si>
  <si>
    <t>(+) Administration costs</t>
  </si>
  <si>
    <t>(=) Subtotal</t>
  </si>
  <si>
    <t>(+) Value Added Tax</t>
  </si>
  <si>
    <t>State</t>
  </si>
  <si>
    <t>Bartender</t>
  </si>
  <si>
    <t/>
  </si>
  <si>
    <t>No</t>
  </si>
  <si>
    <t>$200.00</t>
  </si>
  <si>
    <t>Individual</t>
  </si>
  <si>
    <t>35</t>
  </si>
  <si>
    <t>$500,000.00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</si>
</sst>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&quot;$&quot;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center"/>
    </xf>
    <xf numFmtId="165" fontId="0" fillId="0" borderId="0" xfId="1" applyFont="1"/>
    <xf numFmtId="0" fontId="0" fillId="0" borderId="0" xfId="0" applyAlignment="1">
      <alignment horizontal="left"/>
    </xf>
    <xf numFmtId="164" fontId="0" fillId="0" borderId="0" xfId="0" applyNumberFormat="1"/>
    <xf numFmtId="166" fontId="0" fillId="0" borderId="0" xfId="0" applyNumberFormat="1"/>
    <xf numFmtId="0" fontId="3" fillId="0" borderId="0" xfId="0" applyFont="1"/>
    <xf numFmtId="0" fontId="0" fillId="0" borderId="1" xfId="0" applyBorder="1"/>
    <xf numFmtId="0" fontId="0" fillId="0" borderId="1" xfId="0" applyBorder="1" applyAlignment="1">
      <alignment horizontal="left"/>
    </xf>
    <xf numFmtId="166" fontId="0" fillId="0" borderId="1" xfId="0" applyNumberFormat="1" applyBorder="1"/>
    <xf numFmtId="0" fontId="4" fillId="0" borderId="0" xfId="0" applyFont="1"/>
    <xf numFmtId="166" fontId="3" fillId="0" borderId="0" xfId="0" applyNumberFormat="1" applyFont="1"/>
    <xf numFmtId="0" fontId="0" fillId="0" borderId="0" xfId="0" applyAlignment="1">
      <alignment horizontal="right"/>
    </xf>
    <xf numFmtId="0" fontId="2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Moneda" xfId="1" builtinId="4"/>
    <cellStyle name="Normal" xfId="0" builtinId="0"/>
  </cellStyles>
  <dxfs count="1">
    <dxf>
      <font>
        <b/>
        <i val="0"/>
        <color rgb="FFFF0000"/>
      </font>
      <fill>
        <patternFill patternType="none">
          <bgColor auto="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J56"/>
  <sheetViews>
    <sheetView tabSelected="1" workbookViewId="0">
      <selection activeCell="C9" sqref="C9"/>
    </sheetView>
  </sheetViews>
  <sheetFormatPr baseColWidth="10" defaultColWidth="9.140625" defaultRowHeight="15" x14ac:dyDescent="0.25"/>
  <cols>
    <col min="1" max="1" width="32" bestFit="1" customWidth="1"/>
    <col min="19" max="19" width="17.140625" bestFit="1" customWidth="1"/>
    <col min="21" max="21" width="37.5703125" bestFit="1" customWidth="1"/>
    <col min="32" max="32" width="10.5703125" bestFit="1" customWidth="1"/>
    <col min="33" max="33" width="37.5703125" bestFit="1" customWidth="1"/>
  </cols>
  <sheetData>
    <row r="1" spans="1:36" x14ac:dyDescent="0.25">
      <c r="A1" t="s">
        <v>45</v>
      </c>
      <c r="B1" t="s">
        <v>46</v>
      </c>
      <c r="D1" t="s">
        <v>69</v>
      </c>
      <c r="E1" t="str">
        <f>IFERROR(VLOOKUP(D1,PRC,2,0),"")</f>
        <v>D</v>
      </c>
      <c r="G1" t="s">
        <v>47</v>
      </c>
      <c r="S1" t="s">
        <v>99</v>
      </c>
      <c r="U1" s="14" t="s">
        <v>67</v>
      </c>
      <c r="V1" s="14"/>
      <c r="W1" s="14"/>
      <c r="X1" s="14"/>
      <c r="Y1" s="14"/>
      <c r="Z1" s="14"/>
      <c r="AA1" s="14"/>
      <c r="AB1" s="14"/>
      <c r="AC1" s="14"/>
      <c r="AD1" s="14"/>
      <c r="AE1" s="14"/>
      <c r="AG1" t="s">
        <v>100</v>
      </c>
      <c r="AI1" t="s">
        <v>3</v>
      </c>
      <c r="AJ1">
        <f>VLOOKUP(AG1,Cob,HLOOKUP($AI$1,MH,2),0)</f>
        <v>2.8399999999999996E-3</v>
      </c>
    </row>
    <row r="2" spans="1:36" x14ac:dyDescent="0.25">
      <c r="A2" t="s">
        <v>48</v>
      </c>
      <c r="B2" t="s">
        <v>0</v>
      </c>
      <c r="G2" t="s">
        <v>0</v>
      </c>
      <c r="S2" t="s">
        <v>6</v>
      </c>
      <c r="U2" s="1"/>
      <c r="V2" s="1" t="s">
        <v>0</v>
      </c>
      <c r="W2" s="1" t="s">
        <v>2</v>
      </c>
      <c r="X2" s="1" t="s">
        <v>1</v>
      </c>
      <c r="Y2" s="1" t="s">
        <v>3</v>
      </c>
      <c r="Z2" s="1" t="s">
        <v>4</v>
      </c>
      <c r="AA2" s="1" t="s">
        <v>5</v>
      </c>
      <c r="AB2" s="1" t="s">
        <v>40</v>
      </c>
      <c r="AC2" s="1" t="s">
        <v>41</v>
      </c>
      <c r="AD2" s="1" t="s">
        <v>43</v>
      </c>
      <c r="AE2" s="1" t="s">
        <v>44</v>
      </c>
      <c r="AG2" s="3" t="s">
        <v>101</v>
      </c>
      <c r="AJ2">
        <f t="shared" ref="AJ2:AJ6" si="0">VLOOKUP(AG2,Cob,HLOOKUP($AI$1,MH,2),0)</f>
        <v>1.41E-3</v>
      </c>
    </row>
    <row r="3" spans="1:36" x14ac:dyDescent="0.25">
      <c r="A3" t="s">
        <v>49</v>
      </c>
      <c r="B3" t="s">
        <v>0</v>
      </c>
      <c r="G3" t="s">
        <v>2</v>
      </c>
      <c r="S3" t="s">
        <v>18</v>
      </c>
      <c r="V3">
        <v>2</v>
      </c>
      <c r="W3">
        <v>3</v>
      </c>
      <c r="X3">
        <v>4</v>
      </c>
      <c r="Y3">
        <v>5</v>
      </c>
      <c r="Z3">
        <v>6</v>
      </c>
      <c r="AA3">
        <v>7</v>
      </c>
      <c r="AB3">
        <v>8</v>
      </c>
      <c r="AC3">
        <v>9</v>
      </c>
      <c r="AD3">
        <v>10</v>
      </c>
      <c r="AE3">
        <v>11</v>
      </c>
      <c r="AF3" s="2"/>
      <c r="AG3" s="3" t="s">
        <v>102</v>
      </c>
      <c r="AJ3">
        <f t="shared" si="0"/>
        <v>2.1299999999999999E-3</v>
      </c>
    </row>
    <row r="4" spans="1:36" x14ac:dyDescent="0.25">
      <c r="A4" t="s">
        <v>50</v>
      </c>
      <c r="B4" t="s">
        <v>0</v>
      </c>
      <c r="G4" t="s">
        <v>1</v>
      </c>
      <c r="S4" t="s">
        <v>19</v>
      </c>
      <c r="T4">
        <v>1</v>
      </c>
      <c r="U4" s="3" t="s">
        <v>100</v>
      </c>
      <c r="V4" s="1">
        <f>1.67/1000</f>
        <v>1.6699999999999998E-3</v>
      </c>
      <c r="W4" s="1">
        <f>2/1000</f>
        <v>2E-3</v>
      </c>
      <c r="X4" s="1">
        <f>2.34/1000</f>
        <v>2.3400000000000001E-3</v>
      </c>
      <c r="Y4" s="1">
        <f>2.84/1000</f>
        <v>2.8399999999999996E-3</v>
      </c>
      <c r="Z4" s="1">
        <f>3.67/1000</f>
        <v>3.6700000000000001E-3</v>
      </c>
      <c r="AA4" s="1">
        <f>4.51/1000</f>
        <v>4.5100000000000001E-3</v>
      </c>
      <c r="AB4" s="1">
        <f>5.34/1000</f>
        <v>5.3400000000000001E-3</v>
      </c>
      <c r="AC4" s="1">
        <f>7/1000</f>
        <v>7.0000000000000001E-3</v>
      </c>
      <c r="AD4" s="1">
        <f>8.66/1000</f>
        <v>8.6599999999999993E-3</v>
      </c>
      <c r="AE4" s="1">
        <f>10.35/1000</f>
        <v>1.035E-2</v>
      </c>
      <c r="AF4" s="2"/>
      <c r="AG4" s="3" t="s">
        <v>103</v>
      </c>
      <c r="AJ4">
        <f t="shared" si="0"/>
        <v>6.4</v>
      </c>
    </row>
    <row r="5" spans="1:36" x14ac:dyDescent="0.25">
      <c r="A5" t="s">
        <v>51</v>
      </c>
      <c r="B5" t="s">
        <v>0</v>
      </c>
      <c r="G5" t="s">
        <v>3</v>
      </c>
      <c r="S5" t="s">
        <v>7</v>
      </c>
      <c r="T5">
        <v>2</v>
      </c>
      <c r="U5" s="3" t="s">
        <v>101</v>
      </c>
      <c r="V5" s="1">
        <f>0.83/1000</f>
        <v>8.3000000000000001E-4</v>
      </c>
      <c r="W5" s="1">
        <f>1/1000</f>
        <v>1E-3</v>
      </c>
      <c r="X5" s="1">
        <f>1.16/1000</f>
        <v>1.16E-3</v>
      </c>
      <c r="Y5" s="1">
        <f>1.41/1000</f>
        <v>1.41E-3</v>
      </c>
      <c r="Z5" s="1">
        <f>1.63/1000</f>
        <v>1.6299999999999999E-3</v>
      </c>
      <c r="AA5" s="1">
        <f>2.24/1000</f>
        <v>2.2400000000000002E-3</v>
      </c>
      <c r="AB5" s="1">
        <f>2.66/1000</f>
        <v>2.66E-3</v>
      </c>
      <c r="AC5" s="1">
        <f>3.5/1000</f>
        <v>3.5000000000000001E-3</v>
      </c>
      <c r="AD5" s="1">
        <f>4.32/1000</f>
        <v>4.3200000000000001E-3</v>
      </c>
      <c r="AE5" s="1">
        <f>5.15/1000</f>
        <v>5.1500000000000001E-3</v>
      </c>
      <c r="AF5" s="2"/>
      <c r="AG5" s="3" t="s">
        <v>104</v>
      </c>
      <c r="AJ5">
        <f t="shared" si="0"/>
        <v>1.7000000000000001E-2</v>
      </c>
    </row>
    <row r="6" spans="1:36" x14ac:dyDescent="0.25">
      <c r="A6" t="s">
        <v>52</v>
      </c>
      <c r="B6" t="s">
        <v>0</v>
      </c>
      <c r="G6" t="s">
        <v>4</v>
      </c>
      <c r="S6" t="s">
        <v>8</v>
      </c>
      <c r="T6">
        <v>3</v>
      </c>
      <c r="U6" s="3" t="s">
        <v>102</v>
      </c>
      <c r="V6" s="1">
        <f>1.25/1000</f>
        <v>1.25E-3</v>
      </c>
      <c r="W6" s="1">
        <f>1.5/1000</f>
        <v>1.5E-3</v>
      </c>
      <c r="X6" s="1">
        <f>1.75/1000</f>
        <v>1.75E-3</v>
      </c>
      <c r="Y6" s="1">
        <f>2.13/1000</f>
        <v>2.1299999999999999E-3</v>
      </c>
      <c r="Z6" s="1">
        <f>2.75/1000</f>
        <v>2.7499999999999998E-3</v>
      </c>
      <c r="AA6" s="1">
        <f>3.38/1000</f>
        <v>3.3799999999999998E-3</v>
      </c>
      <c r="AB6" s="1">
        <f>4/1000</f>
        <v>4.0000000000000001E-3</v>
      </c>
      <c r="AC6" s="1">
        <f>5.25/1000</f>
        <v>5.2500000000000003E-3</v>
      </c>
      <c r="AD6" s="1">
        <f>6.5/1000</f>
        <v>6.4999999999999997E-3</v>
      </c>
      <c r="AE6" s="1">
        <f>7.75/1000</f>
        <v>7.7499999999999999E-3</v>
      </c>
      <c r="AF6" s="2"/>
      <c r="AG6" s="3" t="s">
        <v>105</v>
      </c>
      <c r="AJ6">
        <f t="shared" si="0"/>
        <v>0.21</v>
      </c>
    </row>
    <row r="7" spans="1:36" x14ac:dyDescent="0.25">
      <c r="A7" t="s">
        <v>53</v>
      </c>
      <c r="B7" t="s">
        <v>0</v>
      </c>
      <c r="G7" t="s">
        <v>5</v>
      </c>
      <c r="S7" t="s">
        <v>9</v>
      </c>
      <c r="T7">
        <v>4</v>
      </c>
      <c r="U7" s="3" t="s">
        <v>103</v>
      </c>
      <c r="V7" s="1">
        <v>3.75</v>
      </c>
      <c r="W7" s="1">
        <v>4.5</v>
      </c>
      <c r="X7" s="1">
        <v>5.25</v>
      </c>
      <c r="Y7" s="1">
        <v>6.4</v>
      </c>
      <c r="Z7" s="1">
        <v>8.25</v>
      </c>
      <c r="AA7" s="1">
        <v>10.1</v>
      </c>
      <c r="AB7" s="1">
        <v>12</v>
      </c>
      <c r="AC7" s="1">
        <v>15.75</v>
      </c>
      <c r="AD7" s="1">
        <v>19.5</v>
      </c>
      <c r="AE7" s="1">
        <v>23.26</v>
      </c>
      <c r="AF7" s="2"/>
    </row>
    <row r="8" spans="1:36" x14ac:dyDescent="0.25">
      <c r="A8" t="s">
        <v>38</v>
      </c>
      <c r="B8" t="s">
        <v>0</v>
      </c>
      <c r="G8" t="s">
        <v>40</v>
      </c>
      <c r="S8" t="s">
        <v>17</v>
      </c>
      <c r="T8">
        <v>5</v>
      </c>
      <c r="U8" s="3" t="s">
        <v>104</v>
      </c>
      <c r="V8" s="1">
        <f>10/1000</f>
        <v>0.01</v>
      </c>
      <c r="W8" s="1">
        <f>12/1000</f>
        <v>1.2E-2</v>
      </c>
      <c r="X8" s="1">
        <f>14/1000</f>
        <v>1.4E-2</v>
      </c>
      <c r="Y8" s="1">
        <f>17/1000</f>
        <v>1.7000000000000001E-2</v>
      </c>
      <c r="Z8" s="1">
        <f>22/1000</f>
        <v>2.1999999999999999E-2</v>
      </c>
      <c r="AA8" s="1">
        <f>27/1000</f>
        <v>2.7E-2</v>
      </c>
      <c r="AB8" s="1">
        <f>32/1000</f>
        <v>3.2000000000000001E-2</v>
      </c>
      <c r="AC8" s="1">
        <f>42/1000</f>
        <v>4.2000000000000003E-2</v>
      </c>
      <c r="AD8" s="1">
        <f>52/1000</f>
        <v>5.1999999999999998E-2</v>
      </c>
      <c r="AE8" s="1">
        <f>62/1000</f>
        <v>6.2E-2</v>
      </c>
    </row>
    <row r="9" spans="1:36" x14ac:dyDescent="0.25">
      <c r="A9" t="s">
        <v>54</v>
      </c>
      <c r="B9" t="s">
        <v>0</v>
      </c>
      <c r="G9" t="s">
        <v>41</v>
      </c>
      <c r="S9" t="s">
        <v>10</v>
      </c>
      <c r="T9">
        <v>6</v>
      </c>
      <c r="U9" s="3" t="s">
        <v>105</v>
      </c>
      <c r="V9" s="1">
        <f>0.13</f>
        <v>0.13</v>
      </c>
      <c r="W9" s="1">
        <v>0.15</v>
      </c>
      <c r="X9" s="1">
        <v>0.18</v>
      </c>
      <c r="Y9" s="1">
        <v>0.21</v>
      </c>
      <c r="Z9" s="1">
        <v>0.28000000000000003</v>
      </c>
      <c r="AA9" s="1">
        <v>0.34</v>
      </c>
      <c r="AB9" s="1">
        <v>0.4</v>
      </c>
      <c r="AC9" s="1">
        <v>0.53</v>
      </c>
      <c r="AD9" s="1">
        <v>0.65</v>
      </c>
      <c r="AE9" s="1">
        <v>0.78</v>
      </c>
    </row>
    <row r="10" spans="1:36" x14ac:dyDescent="0.25">
      <c r="A10" t="s">
        <v>55</v>
      </c>
      <c r="B10" t="s">
        <v>0</v>
      </c>
      <c r="G10" t="s">
        <v>43</v>
      </c>
      <c r="S10" t="s">
        <v>11</v>
      </c>
    </row>
    <row r="11" spans="1:36" x14ac:dyDescent="0.25">
      <c r="A11" t="s">
        <v>56</v>
      </c>
      <c r="B11" t="s">
        <v>0</v>
      </c>
      <c r="G11" t="s">
        <v>44</v>
      </c>
      <c r="S11" t="s">
        <v>12</v>
      </c>
    </row>
    <row r="12" spans="1:36" x14ac:dyDescent="0.25">
      <c r="A12" t="s">
        <v>57</v>
      </c>
      <c r="B12" t="s">
        <v>2</v>
      </c>
      <c r="S12" t="s">
        <v>13</v>
      </c>
    </row>
    <row r="13" spans="1:36" x14ac:dyDescent="0.25">
      <c r="A13" t="s">
        <v>58</v>
      </c>
      <c r="B13" t="s">
        <v>2</v>
      </c>
      <c r="S13" t="s">
        <v>20</v>
      </c>
    </row>
    <row r="14" spans="1:36" x14ac:dyDescent="0.25">
      <c r="A14" t="s">
        <v>59</v>
      </c>
      <c r="B14" t="s">
        <v>1</v>
      </c>
      <c r="S14" t="s">
        <v>14</v>
      </c>
    </row>
    <row r="15" spans="1:36" x14ac:dyDescent="0.25">
      <c r="A15" t="s">
        <v>39</v>
      </c>
      <c r="B15" t="s">
        <v>1</v>
      </c>
      <c r="S15" t="s">
        <v>15</v>
      </c>
    </row>
    <row r="16" spans="1:36" x14ac:dyDescent="0.25">
      <c r="A16" t="s">
        <v>60</v>
      </c>
      <c r="B16" t="s">
        <v>1</v>
      </c>
      <c r="S16" t="s">
        <v>16</v>
      </c>
    </row>
    <row r="17" spans="1:19" x14ac:dyDescent="0.25">
      <c r="A17" t="s">
        <v>61</v>
      </c>
      <c r="B17" t="s">
        <v>1</v>
      </c>
      <c r="S17" t="s">
        <v>21</v>
      </c>
    </row>
    <row r="18" spans="1:19" x14ac:dyDescent="0.25">
      <c r="A18" t="s">
        <v>62</v>
      </c>
      <c r="B18" t="s">
        <v>1</v>
      </c>
      <c r="S18" t="s">
        <v>22</v>
      </c>
    </row>
    <row r="19" spans="1:19" x14ac:dyDescent="0.25">
      <c r="A19" t="s">
        <v>63</v>
      </c>
      <c r="B19" t="s">
        <v>1</v>
      </c>
      <c r="S19" t="s">
        <v>23</v>
      </c>
    </row>
    <row r="20" spans="1:19" x14ac:dyDescent="0.25">
      <c r="A20" t="s">
        <v>64</v>
      </c>
      <c r="B20" t="s">
        <v>1</v>
      </c>
      <c r="S20" t="s">
        <v>24</v>
      </c>
    </row>
    <row r="21" spans="1:19" x14ac:dyDescent="0.25">
      <c r="A21" t="s">
        <v>65</v>
      </c>
      <c r="B21" t="s">
        <v>1</v>
      </c>
      <c r="S21" t="s">
        <v>25</v>
      </c>
    </row>
    <row r="22" spans="1:19" x14ac:dyDescent="0.25">
      <c r="A22" t="s">
        <v>66</v>
      </c>
      <c r="B22" t="s">
        <v>1</v>
      </c>
      <c r="S22" t="s">
        <v>26</v>
      </c>
    </row>
    <row r="23" spans="1:19" x14ac:dyDescent="0.25">
      <c r="A23" t="s">
        <v>69</v>
      </c>
      <c r="B23" t="s">
        <v>3</v>
      </c>
      <c r="S23" t="s">
        <v>27</v>
      </c>
    </row>
    <row r="24" spans="1:19" x14ac:dyDescent="0.25">
      <c r="A24" t="s">
        <v>68</v>
      </c>
      <c r="B24" t="s">
        <v>3</v>
      </c>
      <c r="S24" t="s">
        <v>28</v>
      </c>
    </row>
    <row r="25" spans="1:19" x14ac:dyDescent="0.25">
      <c r="A25" t="s">
        <v>70</v>
      </c>
      <c r="B25" t="s">
        <v>3</v>
      </c>
      <c r="S25" t="s">
        <v>29</v>
      </c>
    </row>
    <row r="26" spans="1:19" x14ac:dyDescent="0.25">
      <c r="A26" t="s">
        <v>71</v>
      </c>
      <c r="B26" t="s">
        <v>4</v>
      </c>
      <c r="S26" t="s">
        <v>30</v>
      </c>
    </row>
    <row r="27" spans="1:19" x14ac:dyDescent="0.25">
      <c r="A27" t="s">
        <v>72</v>
      </c>
      <c r="B27" t="s">
        <v>4</v>
      </c>
      <c r="S27" t="s">
        <v>31</v>
      </c>
    </row>
    <row r="28" spans="1:19" x14ac:dyDescent="0.25">
      <c r="A28" t="s">
        <v>73</v>
      </c>
      <c r="B28" t="s">
        <v>4</v>
      </c>
      <c r="S28" t="s">
        <v>32</v>
      </c>
    </row>
    <row r="29" spans="1:19" x14ac:dyDescent="0.25">
      <c r="A29" t="s">
        <v>74</v>
      </c>
      <c r="B29" t="s">
        <v>4</v>
      </c>
      <c r="S29" t="s">
        <v>33</v>
      </c>
    </row>
    <row r="30" spans="1:19" x14ac:dyDescent="0.25">
      <c r="A30" t="s">
        <v>75</v>
      </c>
      <c r="B30" t="s">
        <v>4</v>
      </c>
      <c r="S30" t="s">
        <v>34</v>
      </c>
    </row>
    <row r="31" spans="1:19" x14ac:dyDescent="0.25">
      <c r="A31" t="s">
        <v>76</v>
      </c>
      <c r="B31" t="s">
        <v>4</v>
      </c>
      <c r="S31" t="s">
        <v>35</v>
      </c>
    </row>
    <row r="32" spans="1:19" x14ac:dyDescent="0.25">
      <c r="A32" t="s">
        <v>77</v>
      </c>
      <c r="B32" t="s">
        <v>4</v>
      </c>
      <c r="S32" t="s">
        <v>36</v>
      </c>
    </row>
    <row r="33" spans="1:19" x14ac:dyDescent="0.25">
      <c r="A33" t="s">
        <v>80</v>
      </c>
      <c r="B33" t="s">
        <v>5</v>
      </c>
      <c r="S33" t="s">
        <v>37</v>
      </c>
    </row>
    <row r="34" spans="1:19" x14ac:dyDescent="0.25">
      <c r="A34" t="s">
        <v>81</v>
      </c>
      <c r="B34" t="s">
        <v>5</v>
      </c>
    </row>
    <row r="35" spans="1:19" x14ac:dyDescent="0.25">
      <c r="A35" t="s">
        <v>82</v>
      </c>
      <c r="B35" t="s">
        <v>5</v>
      </c>
    </row>
    <row r="36" spans="1:19" x14ac:dyDescent="0.25">
      <c r="A36" t="s">
        <v>83</v>
      </c>
      <c r="B36" t="s">
        <v>5</v>
      </c>
    </row>
    <row r="37" spans="1:19" x14ac:dyDescent="0.25">
      <c r="A37" t="s">
        <v>84</v>
      </c>
      <c r="B37" t="s">
        <v>5</v>
      </c>
    </row>
    <row r="38" spans="1:19" x14ac:dyDescent="0.25">
      <c r="A38" t="s">
        <v>85</v>
      </c>
      <c r="B38" t="s">
        <v>5</v>
      </c>
    </row>
    <row r="39" spans="1:19" x14ac:dyDescent="0.25">
      <c r="A39" t="s">
        <v>86</v>
      </c>
      <c r="B39" t="s">
        <v>5</v>
      </c>
    </row>
    <row r="40" spans="1:19" x14ac:dyDescent="0.25">
      <c r="A40" t="s">
        <v>87</v>
      </c>
      <c r="B40" t="s">
        <v>40</v>
      </c>
    </row>
    <row r="41" spans="1:19" x14ac:dyDescent="0.25">
      <c r="A41" t="s">
        <v>88</v>
      </c>
      <c r="B41" t="s">
        <v>40</v>
      </c>
    </row>
    <row r="42" spans="1:19" x14ac:dyDescent="0.25">
      <c r="A42" t="s">
        <v>42</v>
      </c>
      <c r="B42" t="s">
        <v>41</v>
      </c>
    </row>
    <row r="43" spans="1:19" x14ac:dyDescent="0.25">
      <c r="A43" t="s">
        <v>89</v>
      </c>
      <c r="B43" t="s">
        <v>41</v>
      </c>
    </row>
    <row r="44" spans="1:19" x14ac:dyDescent="0.25">
      <c r="A44" t="s">
        <v>90</v>
      </c>
      <c r="B44" t="s">
        <v>41</v>
      </c>
    </row>
    <row r="45" spans="1:19" x14ac:dyDescent="0.25">
      <c r="A45" t="s">
        <v>91</v>
      </c>
      <c r="B45" t="s">
        <v>43</v>
      </c>
    </row>
    <row r="46" spans="1:19" x14ac:dyDescent="0.25">
      <c r="A46" t="s">
        <v>92</v>
      </c>
      <c r="B46" t="s">
        <v>43</v>
      </c>
    </row>
    <row r="47" spans="1:19" x14ac:dyDescent="0.25">
      <c r="A47" t="s">
        <v>93</v>
      </c>
      <c r="B47" t="s">
        <v>43</v>
      </c>
    </row>
    <row r="48" spans="1:19" x14ac:dyDescent="0.25">
      <c r="A48" t="s">
        <v>94</v>
      </c>
      <c r="B48" t="s">
        <v>43</v>
      </c>
    </row>
    <row r="49" spans="1:2" x14ac:dyDescent="0.25">
      <c r="A49" t="s">
        <v>95</v>
      </c>
      <c r="B49" t="s">
        <v>44</v>
      </c>
    </row>
    <row r="50" spans="1:2" x14ac:dyDescent="0.25">
      <c r="A50" t="s">
        <v>96</v>
      </c>
      <c r="B50" t="s">
        <v>44</v>
      </c>
    </row>
    <row r="51" spans="1:2" x14ac:dyDescent="0.25">
      <c r="A51" t="s">
        <v>97</v>
      </c>
      <c r="B51" t="s">
        <v>44</v>
      </c>
    </row>
    <row r="52" spans="1:2" x14ac:dyDescent="0.25">
      <c r="A52" t="s">
        <v>98</v>
      </c>
      <c r="B52" t="s">
        <v>44</v>
      </c>
    </row>
    <row r="53" spans="1:2" x14ac:dyDescent="0.25">
      <c r="A53" t="s">
        <v>79</v>
      </c>
      <c r="B53" t="s">
        <v>0</v>
      </c>
    </row>
    <row r="54" spans="1:2" x14ac:dyDescent="0.25">
      <c r="A54" t="s">
        <v>78</v>
      </c>
      <c r="B54" t="s">
        <v>0</v>
      </c>
    </row>
    <row r="55" spans="1:2" x14ac:dyDescent="0.25">
      <c r="A55" t="s">
        <v>122</v>
      </c>
      <c r="B55" t="s">
        <v>0</v>
      </c>
    </row>
    <row r="56" spans="1:2" x14ac:dyDescent="0.25">
      <c r="A56" t="s">
        <v>130</v>
      </c>
      <c r="B56" t="s">
        <v>2</v>
      </c>
    </row>
  </sheetData>
  <mergeCells count="1">
    <mergeCell ref="U1:AE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M32"/>
  <sheetViews>
    <sheetView topLeftCell="J12" workbookViewId="0">
      <selection activeCell="K16" sqref="K16"/>
    </sheetView>
  </sheetViews>
  <sheetFormatPr baseColWidth="10" defaultRowHeight="15" x14ac:dyDescent="0.25"/>
  <cols>
    <col min="1" max="2" width="28.28515625" hidden="1" customWidth="1"/>
    <col min="3" max="4" width="21.7109375" hidden="1" customWidth="1"/>
    <col min="5" max="5" width="23" hidden="1" customWidth="1"/>
    <col min="6" max="6" width="12.42578125" hidden="1" customWidth="1"/>
    <col min="7" max="7" width="22.7109375" hidden="1" customWidth="1"/>
    <col min="8" max="9" width="11.42578125" hidden="1" customWidth="1"/>
    <col min="10" max="10" width="29.85546875" customWidth="1"/>
    <col min="11" max="11" width="13.28515625" customWidth="1"/>
    <col min="12" max="13" width="23.42578125" customWidth="1"/>
  </cols>
  <sheetData>
    <row r="1" spans="1:11" hidden="1" x14ac:dyDescent="0.25">
      <c r="A1" t="s">
        <v>113</v>
      </c>
      <c r="C1" t="s">
        <v>134</v>
      </c>
    </row>
    <row r="2" spans="1:11" hidden="1" x14ac:dyDescent="0.25">
      <c r="A2" t="s">
        <v>114</v>
      </c>
      <c r="B2" t="s">
        <v>135</v>
      </c>
      <c r="C2">
        <f>B2*1</f>
        <v>35</v>
      </c>
    </row>
    <row r="3" spans="1:11" hidden="1" x14ac:dyDescent="0.25"/>
    <row r="4" spans="1:11" hidden="1" x14ac:dyDescent="0.25">
      <c r="A4" t="s">
        <v>110</v>
      </c>
      <c r="C4" t="s">
        <v>108</v>
      </c>
      <c r="E4" t="s">
        <v>109</v>
      </c>
      <c r="F4" t="s">
        <v>115</v>
      </c>
      <c r="G4" t="s">
        <v>111</v>
      </c>
    </row>
    <row r="5" spans="1:11" hidden="1" x14ac:dyDescent="0.25">
      <c r="A5" s="3" t="s">
        <v>100</v>
      </c>
      <c r="C5" t="s">
        <v>116</v>
      </c>
      <c r="D5" t="s">
        <v>136</v>
      </c>
      <c r="E5" s="5">
        <f>D5*1</f>
        <v>500000</v>
      </c>
      <c r="F5">
        <v>2.8399999999999996E-3</v>
      </c>
      <c r="G5" s="5">
        <f>F5*E5</f>
        <v>1419.9999999999998</v>
      </c>
    </row>
    <row r="6" spans="1:11" hidden="1" x14ac:dyDescent="0.25">
      <c r="A6" s="3" t="s">
        <v>101</v>
      </c>
      <c r="C6" t="s">
        <v>116</v>
      </c>
      <c r="D6" t="s">
        <v>136</v>
      </c>
      <c r="E6" s="5">
        <f>D6*1</f>
        <v>500000</v>
      </c>
      <c r="F6">
        <v>1.41E-3</v>
      </c>
      <c r="G6" s="5">
        <f t="shared" ref="G6:G7" si="0">F6*E6</f>
        <v>705</v>
      </c>
    </row>
    <row r="7" spans="1:11" hidden="1" x14ac:dyDescent="0.25">
      <c r="A7" s="3" t="s">
        <v>103</v>
      </c>
      <c r="C7" t="s">
        <v>132</v>
      </c>
      <c r="D7">
        <v>0</v>
      </c>
      <c r="E7" s="5">
        <f>D7*1</f>
        <v>0</v>
      </c>
      <c r="F7">
        <v>0</v>
      </c>
      <c r="G7" s="5">
        <f t="shared" si="0"/>
        <v>0</v>
      </c>
    </row>
    <row r="8" spans="1:11" hidden="1" x14ac:dyDescent="0.25">
      <c r="A8" t="s">
        <v>121</v>
      </c>
      <c r="D8" s="5"/>
      <c r="F8">
        <v>0</v>
      </c>
      <c r="G8" s="5">
        <f>F8*E10</f>
        <v>0</v>
      </c>
    </row>
    <row r="9" spans="1:11" hidden="1" x14ac:dyDescent="0.25">
      <c r="A9" t="s">
        <v>120</v>
      </c>
      <c r="E9" s="5"/>
      <c r="F9">
        <v>0</v>
      </c>
      <c r="G9" s="5">
        <f>F9*1</f>
        <v>0</v>
      </c>
    </row>
    <row r="10" spans="1:11" hidden="1" x14ac:dyDescent="0.25">
      <c r="A10" s="3" t="s">
        <v>106</v>
      </c>
      <c r="C10" t="s">
        <v>132</v>
      </c>
      <c r="D10">
        <v>0</v>
      </c>
      <c r="E10" s="5">
        <f>D10*1</f>
        <v>0</v>
      </c>
      <c r="G10" s="5">
        <f>G8+G9</f>
        <v>0</v>
      </c>
    </row>
    <row r="11" spans="1:11" hidden="1" x14ac:dyDescent="0.25">
      <c r="E11" s="5"/>
      <c r="G11" s="5"/>
    </row>
    <row r="12" spans="1:11" ht="26.25" x14ac:dyDescent="0.4">
      <c r="E12" t="s">
        <v>119</v>
      </c>
      <c r="G12" s="5">
        <f>G5+G6+G7+G10</f>
        <v>2125</v>
      </c>
      <c r="J12" s="10" t="s">
        <v>123</v>
      </c>
    </row>
    <row r="13" spans="1:11" x14ac:dyDescent="0.25">
      <c r="E13" t="s">
        <v>118</v>
      </c>
      <c r="G13" s="5">
        <f>IF(C2&lt;61,G12*0,IF(C2&lt;66,G12*0.25,G12*0.5))</f>
        <v>0</v>
      </c>
    </row>
    <row r="14" spans="1:11" x14ac:dyDescent="0.25">
      <c r="E14" t="s">
        <v>117</v>
      </c>
      <c r="F14" t="s">
        <v>133</v>
      </c>
      <c r="G14" s="4">
        <f>F14*1</f>
        <v>200</v>
      </c>
      <c r="J14" s="6" t="s">
        <v>113</v>
      </c>
      <c r="K14" s="3" t="str">
        <f>C1</f>
        <v>Individual</v>
      </c>
    </row>
    <row r="15" spans="1:11" x14ac:dyDescent="0.25">
      <c r="G15" s="4"/>
      <c r="J15" s="6" t="s">
        <v>114</v>
      </c>
      <c r="K15" s="3">
        <f>C2</f>
        <v>35</v>
      </c>
    </row>
    <row r="16" spans="1:11" x14ac:dyDescent="0.25">
      <c r="G16" s="4"/>
      <c r="J16" s="6" t="s">
        <v>129</v>
      </c>
      <c r="K16" s="3" t="s">
        <v>131</v>
      </c>
    </row>
    <row r="17" spans="5:13" x14ac:dyDescent="0.25">
      <c r="E17" t="s">
        <v>112</v>
      </c>
      <c r="G17" s="5">
        <f>(G12+G13+G14)*1.16</f>
        <v>2697</v>
      </c>
      <c r="J17" s="6" t="s">
        <v>46</v>
      </c>
      <c r="K17" s="3" t="str">
        <f>Hoja1!E1</f>
        <v>D</v>
      </c>
    </row>
    <row r="19" spans="5:13" x14ac:dyDescent="0.25">
      <c r="J19" s="13" t="s">
        <v>110</v>
      </c>
      <c r="K19" s="13" t="s">
        <v>108</v>
      </c>
      <c r="L19" s="13" t="s">
        <v>109</v>
      </c>
      <c r="M19" s="13" t="s">
        <v>111</v>
      </c>
    </row>
    <row r="20" spans="5:13" x14ac:dyDescent="0.25">
      <c r="J20" s="8" t="s">
        <v>100</v>
      </c>
      <c r="K20" s="7" t="str">
        <f>C5</f>
        <v>Yes</v>
      </c>
      <c r="L20" s="9">
        <f>E5</f>
        <v>500000</v>
      </c>
      <c r="M20" s="9">
        <f>G5</f>
        <v>1419.9999999999998</v>
      </c>
    </row>
    <row r="21" spans="5:13" x14ac:dyDescent="0.25">
      <c r="J21" s="8" t="s">
        <v>107</v>
      </c>
      <c r="K21" s="7" t="str">
        <f>C6</f>
        <v>Yes</v>
      </c>
      <c r="L21" s="9">
        <f t="shared" ref="L21:L22" si="1">E6</f>
        <v>500000</v>
      </c>
      <c r="M21" s="9">
        <f t="shared" ref="M21:M22" si="2">G6</f>
        <v>705</v>
      </c>
    </row>
    <row r="22" spans="5:13" x14ac:dyDescent="0.25">
      <c r="J22" s="8" t="s">
        <v>103</v>
      </c>
      <c r="K22" s="7" t="str">
        <f>C7</f>
        <v>No</v>
      </c>
      <c r="L22" s="9">
        <f t="shared" si="1"/>
        <v>0</v>
      </c>
      <c r="M22" s="9">
        <f t="shared" si="2"/>
        <v>0</v>
      </c>
    </row>
    <row r="23" spans="5:13" x14ac:dyDescent="0.25">
      <c r="J23" s="8" t="s">
        <v>106</v>
      </c>
      <c r="K23" s="7" t="str">
        <f>C10</f>
        <v>No</v>
      </c>
      <c r="L23" s="9">
        <f>E10</f>
        <v>0</v>
      </c>
      <c r="M23" s="9">
        <f>G10</f>
        <v>0</v>
      </c>
    </row>
    <row r="24" spans="5:13" x14ac:dyDescent="0.25">
      <c r="J24" s="3"/>
      <c r="L24" s="5"/>
      <c r="M24" s="5"/>
    </row>
    <row r="25" spans="5:13" x14ac:dyDescent="0.25">
      <c r="L25" s="12" t="s">
        <v>119</v>
      </c>
      <c r="M25" s="5">
        <f>G12</f>
        <v>2125</v>
      </c>
    </row>
    <row r="26" spans="5:13" x14ac:dyDescent="0.25">
      <c r="L26" s="12" t="s">
        <v>124</v>
      </c>
      <c r="M26" s="5">
        <f>G13</f>
        <v>0</v>
      </c>
    </row>
    <row r="27" spans="5:13" x14ac:dyDescent="0.25">
      <c r="L27" s="12" t="s">
        <v>126</v>
      </c>
      <c r="M27" s="5">
        <f>G14</f>
        <v>200</v>
      </c>
    </row>
    <row r="28" spans="5:13" x14ac:dyDescent="0.25">
      <c r="L28" s="12"/>
      <c r="M28" s="5"/>
    </row>
    <row r="29" spans="5:13" x14ac:dyDescent="0.25">
      <c r="L29" s="12" t="s">
        <v>127</v>
      </c>
      <c r="M29" s="5">
        <f>SUM(M25:M27)</f>
        <v>2325</v>
      </c>
    </row>
    <row r="30" spans="5:13" x14ac:dyDescent="0.25">
      <c r="L30" s="12" t="s">
        <v>128</v>
      </c>
      <c r="M30" s="5">
        <f>M29*0.16</f>
        <v>372</v>
      </c>
    </row>
    <row r="31" spans="5:13" x14ac:dyDescent="0.25">
      <c r="L31" s="12"/>
      <c r="M31" s="5"/>
    </row>
    <row r="32" spans="5:13" x14ac:dyDescent="0.25">
      <c r="L32" s="12" t="s">
        <v>125</v>
      </c>
      <c r="M32" s="11">
        <f>G17</f>
        <v>2697</v>
      </c>
    </row>
  </sheetData>
  <conditionalFormatting sqref="K20:K23">
    <cfRule type="expression" dxfId="0" priority="1">
      <formula>K20="No"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8</vt:i4>
      </vt:variant>
    </vt:vector>
  </HeadingPairs>
  <TitlesOfParts>
    <vt:vector size="11" baseType="lpstr">
      <vt:lpstr>Hoja1</vt:lpstr>
      <vt:lpstr>Hoja2</vt:lpstr>
      <vt:lpstr>Excel</vt:lpstr>
      <vt:lpstr>AJ</vt:lpstr>
      <vt:lpstr>Cob</vt:lpstr>
      <vt:lpstr>EST</vt:lpstr>
      <vt:lpstr>Finale</vt:lpstr>
      <vt:lpstr>MH</vt:lpstr>
      <vt:lpstr>P</vt:lpstr>
      <vt:lpstr>PR</vt:lpstr>
      <vt:lpstr>PRC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2025-02-10T02:32:09Z</dcterms:modified>
</cp:coreProperties>
</file>